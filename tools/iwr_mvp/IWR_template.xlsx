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_Kato\Documents\AI\IWR\"/>
    </mc:Choice>
  </mc:AlternateContent>
  <xr:revisionPtr revIDLastSave="0" documentId="13_ncr:1_{C00E08EA-64AE-4960-9B01-55DDC7933C2D}" xr6:coauthVersionLast="47" xr6:coauthVersionMax="47" xr10:uidLastSave="{00000000-0000-0000-0000-000000000000}"/>
  <bookViews>
    <workbookView xWindow="-120" yWindow="-120" windowWidth="38640" windowHeight="21840" activeTab="6" xr2:uid="{00000000-000D-0000-FFFF-FFFF00000000}"/>
  </bookViews>
  <sheets>
    <sheet name="README   MANUAL（EN）" sheetId="12" r:id="rId1"/>
    <sheet name="README   MANUAL（JP）" sheetId="11" r:id="rId2"/>
    <sheet name="Overview(実験メタ情報）" sheetId="1" r:id="rId3"/>
    <sheet name="Models(実験対象一覧）" sheetId="2" r:id="rId4"/>
    <sheet name="PO(種問)JA" sheetId="3" r:id="rId5"/>
    <sheet name="PO(種問)EN" sheetId="4" r:id="rId6"/>
    <sheet name="IWR Measurement Log (Main)" sheetId="5" r:id="rId7"/>
    <sheet name="Bankruptcy type definition (fix" sheetId="6" r:id="rId8"/>
    <sheet name="Free Notes" sheetId="7" r:id="rId9"/>
    <sheet name="LISTS01" sheetId="8" r:id="rId10"/>
    <sheet name="LISTS02" sheetId="10" r:id="rId11"/>
  </sheets>
  <definedNames>
    <definedName name="Definition">'Bankruptcy type definition (fix'!$B$3:$B$8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12" i="4"/>
  <c r="E13" i="4"/>
  <c r="E3" i="4"/>
  <c r="E4" i="3"/>
  <c r="E5" i="3"/>
  <c r="E6" i="3"/>
  <c r="E7" i="3"/>
  <c r="E8" i="3"/>
  <c r="E9" i="3"/>
  <c r="E10" i="3"/>
  <c r="E11" i="3"/>
  <c r="E12" i="3"/>
  <c r="E13" i="3"/>
  <c r="E3" i="3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" i="5"/>
  <c r="L5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" i="5"/>
</calcChain>
</file>

<file path=xl/sharedStrings.xml><?xml version="1.0" encoding="utf-8"?>
<sst xmlns="http://schemas.openxmlformats.org/spreadsheetml/2006/main" count="527" uniqueCount="408">
  <si>
    <t>Item</t>
    <phoneticPr fontId="1"/>
  </si>
  <si>
    <t>Description</t>
  </si>
  <si>
    <t>Description</t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</si>
  <si>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</si>
  <si>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</si>
  <si>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実験ID</t>
    <rPh sb="0" eb="2">
      <t>ジッケン</t>
    </rPh>
    <phoneticPr fontId="1"/>
  </si>
  <si>
    <t>実験者</t>
    <rPh sb="0" eb="3">
      <t>ジッケンシャ</t>
    </rPh>
    <phoneticPr fontId="1"/>
  </si>
  <si>
    <t>実験日</t>
    <rPh sb="0" eb="3">
      <t>ジッケンビ</t>
    </rPh>
    <phoneticPr fontId="1"/>
  </si>
  <si>
    <t>実験目的</t>
    <rPh sb="0" eb="4">
      <t>ジッケンモクテキ</t>
    </rPh>
    <phoneticPr fontId="1"/>
  </si>
  <si>
    <t>言語</t>
    <rPh sb="0" eb="2">
      <t>ゲンゴ</t>
    </rPh>
    <phoneticPr fontId="1"/>
  </si>
  <si>
    <t>最大深さK</t>
    <rPh sb="0" eb="3">
      <t>サイダイフカ</t>
    </rPh>
    <phoneticPr fontId="1"/>
  </si>
  <si>
    <t>WHYテンプレ</t>
  </si>
  <si>
    <t>WHYテンプレ</t>
    <phoneticPr fontId="1"/>
  </si>
  <si>
    <t>備考</t>
    <rPh sb="0" eb="2">
      <t>ビコウ</t>
    </rPh>
    <phoneticPr fontId="1"/>
  </si>
  <si>
    <t>Experiment ID</t>
    <phoneticPr fontId="1"/>
  </si>
  <si>
    <t>IWR_YYYYMMDD_01</t>
    <phoneticPr fontId="1"/>
  </si>
  <si>
    <t>YYYY/MM/DD</t>
    <phoneticPr fontId="1"/>
  </si>
  <si>
    <t>RK</t>
    <phoneticPr fontId="1"/>
  </si>
  <si>
    <t xml:space="preserve">	IWR初期実測（手動）</t>
    <phoneticPr fontId="1"/>
  </si>
  <si>
    <t>日本語 / 英語</t>
    <phoneticPr fontId="1"/>
  </si>
  <si>
    <t>なぜそう言えるの？いまの答えの中心の理由を、前提→因果→結論で説明して</t>
    <phoneticPr fontId="1"/>
  </si>
  <si>
    <t>Why can you say that? Explain the central reason behind your answer, starting with premise, followed by causation, and then conclusion.</t>
    <phoneticPr fontId="1"/>
  </si>
  <si>
    <t>初回手動・探索的</t>
    <phoneticPr fontId="1"/>
  </si>
  <si>
    <t>Initial manual/exploratory</t>
    <phoneticPr fontId="1"/>
  </si>
  <si>
    <t>Experimenter</t>
    <phoneticPr fontId="1"/>
  </si>
  <si>
    <t>Experiment Date</t>
    <phoneticPr fontId="1"/>
  </si>
  <si>
    <t>Experiment Objective</t>
    <phoneticPr fontId="1"/>
  </si>
  <si>
    <t>Initial IWR Measurement (Manual)</t>
    <phoneticPr fontId="1"/>
  </si>
  <si>
    <t>Language</t>
  </si>
  <si>
    <t>Language</t>
    <phoneticPr fontId="1"/>
  </si>
  <si>
    <t>Japanese / English</t>
    <phoneticPr fontId="1"/>
  </si>
  <si>
    <t>Maximum Depth K</t>
    <phoneticPr fontId="1"/>
  </si>
  <si>
    <t>WHY Template</t>
    <phoneticPr fontId="1"/>
  </si>
  <si>
    <t>Notes</t>
  </si>
  <si>
    <t>Notes</t>
    <phoneticPr fontId="1"/>
  </si>
  <si>
    <t>Target ID</t>
  </si>
  <si>
    <t>Provider</t>
    <phoneticPr fontId="1"/>
  </si>
  <si>
    <t>SeedID</t>
    <phoneticPr fontId="1"/>
  </si>
  <si>
    <t>PO</t>
    <phoneticPr fontId="1"/>
  </si>
  <si>
    <t>Domain</t>
    <phoneticPr fontId="1"/>
  </si>
  <si>
    <t>JA-001</t>
    <phoneticPr fontId="1"/>
  </si>
  <si>
    <t>JA</t>
    <phoneticPr fontId="1"/>
  </si>
  <si>
    <t>JA-002</t>
  </si>
  <si>
    <t>JA-003</t>
  </si>
  <si>
    <t>JA-004</t>
  </si>
  <si>
    <t>JA-005</t>
  </si>
  <si>
    <t>JA-006</t>
  </si>
  <si>
    <t>JA-007</t>
  </si>
  <si>
    <t>JA-008</t>
  </si>
  <si>
    <t>JA-009</t>
  </si>
  <si>
    <t>JA-010</t>
  </si>
  <si>
    <t>EN-001</t>
    <phoneticPr fontId="1"/>
  </si>
  <si>
    <t>EN</t>
    <phoneticPr fontId="1"/>
  </si>
  <si>
    <t>EN-002</t>
  </si>
  <si>
    <t>EN-003</t>
  </si>
  <si>
    <t>EN-004</t>
  </si>
  <si>
    <t>EN-005</t>
  </si>
  <si>
    <t>EN-006</t>
  </si>
  <si>
    <t>EN-007</t>
  </si>
  <si>
    <t>EN-008</t>
  </si>
  <si>
    <t>EN-009</t>
  </si>
  <si>
    <t>EN-010</t>
  </si>
  <si>
    <t>1 line = 1 step (very important)</t>
  </si>
  <si>
    <t>Seed ID</t>
  </si>
  <si>
    <t>k</t>
    <phoneticPr fontId="1"/>
  </si>
  <si>
    <t>Why</t>
  </si>
  <si>
    <t>Why</t>
    <phoneticPr fontId="1"/>
  </si>
  <si>
    <t>Answer</t>
  </si>
  <si>
    <t>Answer</t>
    <phoneticPr fontId="1"/>
  </si>
  <si>
    <t>deviation(逸脱)[Y/N]</t>
    <rPh sb="10" eb="12">
      <t>イツダツ</t>
    </rPh>
    <phoneticPr fontId="1"/>
  </si>
  <si>
    <t>New causal factors(新規因果）[Y/N]</t>
    <rPh sb="19" eb="23">
      <t>シンキインガ</t>
    </rPh>
    <phoneticPr fontId="1"/>
  </si>
  <si>
    <t>contradiction(矛盾)[Y/N]</t>
    <rPh sb="14" eb="16">
      <t>ムジュン</t>
    </rPh>
    <phoneticPr fontId="1"/>
  </si>
  <si>
    <t>Bankruptcy(破綻)[Y/N]</t>
    <rPh sb="11" eb="13">
      <t>ハタン</t>
    </rPh>
    <phoneticPr fontId="1"/>
  </si>
  <si>
    <t>Bankruptcy type</t>
    <phoneticPr fontId="1"/>
  </si>
  <si>
    <t>Failure Type</t>
  </si>
  <si>
    <t>Definition</t>
  </si>
  <si>
    <t>定義</t>
  </si>
  <si>
    <t>質問に直接答えない</t>
    <phoneticPr fontId="1"/>
  </si>
  <si>
    <t>過去回答と論理的に衝突</t>
  </si>
  <si>
    <t>新しい因果が追加されない</t>
  </si>
  <si>
    <t>話題がズレる</t>
    <phoneticPr fontId="1"/>
  </si>
  <si>
    <t>ポリシー文言の増殖</t>
  </si>
  <si>
    <t>表現変更のみ</t>
    <phoneticPr fontId="1"/>
  </si>
  <si>
    <t>Evasion</t>
  </si>
  <si>
    <t>Not directly answering the question</t>
  </si>
  <si>
    <t>Inconsistency</t>
    <phoneticPr fontId="1"/>
  </si>
  <si>
    <t>Logically conflicting with previous answers</t>
  </si>
  <si>
    <t>Circular</t>
  </si>
  <si>
    <t>No new causal factors are added</t>
    <phoneticPr fontId="1"/>
  </si>
  <si>
    <t>Deviation</t>
  </si>
  <si>
    <t>The topic shifts</t>
  </si>
  <si>
    <t>Rejection</t>
    <phoneticPr fontId="1"/>
  </si>
  <si>
    <t>Proliferation of policy wording</t>
  </si>
  <si>
    <t>Stagnation</t>
  </si>
  <si>
    <t>Only changing wording</t>
  </si>
  <si>
    <t>Awareness</t>
    <phoneticPr fontId="1"/>
  </si>
  <si>
    <t>Hypothesis</t>
  </si>
  <si>
    <t>ex.A</t>
    <phoneticPr fontId="1"/>
  </si>
  <si>
    <t>Tendency to dislike WHY.</t>
  </si>
  <si>
    <t>Is safety adjustment the cause?</t>
  </si>
  <si>
    <t>ex.B</t>
    <phoneticPr fontId="1"/>
  </si>
  <si>
    <t>Depth but redundancy.</t>
    <phoneticPr fontId="1"/>
  </si>
  <si>
    <t>Low compression resistance.</t>
  </si>
  <si>
    <t>Failure Type(破綻タイプ)</t>
    <phoneticPr fontId="1"/>
  </si>
  <si>
    <t>Evasion(逃げ)</t>
    <phoneticPr fontId="1"/>
  </si>
  <si>
    <t>Inconsistency(矛盾)</t>
    <phoneticPr fontId="1"/>
  </si>
  <si>
    <t>Circular(循環)</t>
    <phoneticPr fontId="1"/>
  </si>
  <si>
    <t>Deviation(逸脱)</t>
    <phoneticPr fontId="1"/>
  </si>
  <si>
    <t>Rejection(拒否)</t>
    <phoneticPr fontId="1"/>
  </si>
  <si>
    <t>Stagnation(停滞)</t>
    <phoneticPr fontId="1"/>
  </si>
  <si>
    <t>Y</t>
    <phoneticPr fontId="1"/>
  </si>
  <si>
    <t>N</t>
    <phoneticPr fontId="1"/>
  </si>
  <si>
    <t>Overview(実験メタ情報）</t>
  </si>
  <si>
    <t>Models(実験対象一覧）</t>
  </si>
  <si>
    <t>PO(種問)JA</t>
  </si>
  <si>
    <t>PO(種問)EN</t>
  </si>
  <si>
    <t>IWR Measurement Log (Main)</t>
  </si>
  <si>
    <t>Bankruptcy type definition (fix</t>
  </si>
  <si>
    <t>Model ID</t>
    <phoneticPr fontId="1"/>
  </si>
  <si>
    <t>Model_Name</t>
    <phoneticPr fontId="1"/>
  </si>
  <si>
    <t>M01</t>
    <phoneticPr fontId="1"/>
  </si>
  <si>
    <t>M02</t>
  </si>
  <si>
    <t>M03</t>
  </si>
  <si>
    <t>M04</t>
  </si>
  <si>
    <t>GPT-4.1</t>
  </si>
  <si>
    <t>Model_Type</t>
    <phoneticPr fontId="1"/>
  </si>
  <si>
    <t>Access_Type</t>
    <phoneticPr fontId="1"/>
  </si>
  <si>
    <t>OpenAI</t>
    <phoneticPr fontId="1"/>
  </si>
  <si>
    <t>LLM</t>
    <phoneticPr fontId="1"/>
  </si>
  <si>
    <t>API</t>
    <phoneticPr fontId="1"/>
  </si>
  <si>
    <t>Default</t>
    <phoneticPr fontId="1"/>
  </si>
  <si>
    <t>GPT-4.1-mini</t>
    <phoneticPr fontId="1"/>
  </si>
  <si>
    <t>Grok-4</t>
  </si>
  <si>
    <t>Gemini 2.0</t>
    <phoneticPr fontId="1"/>
  </si>
  <si>
    <t>Other</t>
  </si>
  <si>
    <t>xAI</t>
    <phoneticPr fontId="1"/>
  </si>
  <si>
    <t>Google</t>
    <phoneticPr fontId="1"/>
  </si>
  <si>
    <t>Other</t>
    <phoneticPr fontId="1"/>
  </si>
  <si>
    <t>Web/API</t>
    <phoneticPr fontId="1"/>
  </si>
  <si>
    <t>Lightweight</t>
    <phoneticPr fontId="1"/>
  </si>
  <si>
    <t>High reasoning</t>
    <phoneticPr fontId="1"/>
  </si>
  <si>
    <t>Multimodal</t>
    <phoneticPr fontId="1"/>
  </si>
  <si>
    <t>Free entry</t>
    <phoneticPr fontId="1"/>
  </si>
  <si>
    <t>（Models）</t>
    <phoneticPr fontId="1"/>
  </si>
  <si>
    <t>（Providers）</t>
    <phoneticPr fontId="1"/>
  </si>
  <si>
    <t>Provider_ID</t>
    <phoneticPr fontId="1"/>
  </si>
  <si>
    <t>Provider Name</t>
  </si>
  <si>
    <t>Region</t>
  </si>
  <si>
    <t>P01</t>
    <phoneticPr fontId="1"/>
  </si>
  <si>
    <t>P02</t>
  </si>
  <si>
    <t>P03</t>
  </si>
  <si>
    <t>P04</t>
  </si>
  <si>
    <t>M99</t>
    <phoneticPr fontId="1"/>
  </si>
  <si>
    <t>P99</t>
    <phoneticPr fontId="1"/>
  </si>
  <si>
    <t>Anthropic</t>
    <phoneticPr fontId="1"/>
  </si>
  <si>
    <t>US</t>
    <phoneticPr fontId="1"/>
  </si>
  <si>
    <t>（Question Domains）</t>
    <phoneticPr fontId="1"/>
  </si>
  <si>
    <t>Domain_ID</t>
    <phoneticPr fontId="1"/>
  </si>
  <si>
    <t>Domain Name</t>
  </si>
  <si>
    <t>D01</t>
    <phoneticPr fontId="1"/>
  </si>
  <si>
    <t>D02</t>
  </si>
  <si>
    <t>D03</t>
  </si>
  <si>
    <t>D04</t>
  </si>
  <si>
    <t>D05</t>
  </si>
  <si>
    <t>D06</t>
  </si>
  <si>
    <t>D99</t>
    <phoneticPr fontId="1"/>
  </si>
  <si>
    <t>Physics</t>
  </si>
  <si>
    <t>Physics</t>
    <phoneticPr fontId="1"/>
  </si>
  <si>
    <t>AI/ML</t>
  </si>
  <si>
    <t>AI/ML</t>
    <phoneticPr fontId="1"/>
  </si>
  <si>
    <t>Biology</t>
  </si>
  <si>
    <t>Biology</t>
    <phoneticPr fontId="1"/>
  </si>
  <si>
    <t>Society</t>
  </si>
  <si>
    <t>Society</t>
    <phoneticPr fontId="1"/>
  </si>
  <si>
    <t>Philosophy</t>
  </si>
  <si>
    <t>Philosophy</t>
    <phoneticPr fontId="1"/>
  </si>
  <si>
    <t>Daily Life</t>
    <phoneticPr fontId="1"/>
  </si>
  <si>
    <t>Natural science, causality</t>
  </si>
  <si>
    <t>Models, training, reasoning</t>
  </si>
  <si>
    <t>Life, evolution, systems</t>
    <phoneticPr fontId="1"/>
  </si>
  <si>
    <t>Economics, law, ethics</t>
  </si>
  <si>
    <t>Why, meaning, causation</t>
  </si>
  <si>
    <t>Common-sense reasoning</t>
  </si>
  <si>
    <t>Free category</t>
  </si>
  <si>
    <t>（Why Operator Type）</t>
    <phoneticPr fontId="1"/>
  </si>
  <si>
    <t>WHY_OP_ID</t>
  </si>
  <si>
    <t>W01</t>
    <phoneticPr fontId="1"/>
  </si>
  <si>
    <t>W02</t>
  </si>
  <si>
    <t>W03</t>
  </si>
  <si>
    <t>W04</t>
  </si>
  <si>
    <t>W99</t>
    <phoneticPr fontId="1"/>
  </si>
  <si>
    <t>WHY Operator Name</t>
    <phoneticPr fontId="1"/>
  </si>
  <si>
    <t>Version</t>
  </si>
  <si>
    <t>Simple Why</t>
    <phoneticPr fontId="1"/>
  </si>
  <si>
    <t>Structured Why</t>
  </si>
  <si>
    <t>Uncertainty Allowed</t>
    <phoneticPr fontId="1"/>
  </si>
  <si>
    <t>Aggressive Why</t>
  </si>
  <si>
    <t>Custom</t>
    <phoneticPr fontId="1"/>
  </si>
  <si>
    <t>"Why?"</t>
  </si>
  <si>
    <t>Premise → Causation → Conclusion</t>
  </si>
  <si>
    <t>Explicit unknown allowed</t>
  </si>
  <si>
    <t>Challenge assumption</t>
  </si>
  <si>
    <t>Free text</t>
  </si>
  <si>
    <t>v0</t>
    <phoneticPr fontId="1"/>
  </si>
  <si>
    <t>（Bankruptcy Types）</t>
  </si>
  <si>
    <t>Failure_ID</t>
    <phoneticPr fontId="1"/>
  </si>
  <si>
    <t>F01</t>
    <phoneticPr fontId="1"/>
  </si>
  <si>
    <t>F02</t>
  </si>
  <si>
    <t>F03</t>
  </si>
  <si>
    <t>F04</t>
  </si>
  <si>
    <t>F05</t>
  </si>
  <si>
    <t>F06</t>
  </si>
  <si>
    <t>Short Code</t>
  </si>
  <si>
    <t>EV</t>
    <phoneticPr fontId="1"/>
  </si>
  <si>
    <t>IN</t>
    <phoneticPr fontId="1"/>
  </si>
  <si>
    <t>CI</t>
    <phoneticPr fontId="1"/>
  </si>
  <si>
    <t>DE</t>
    <phoneticPr fontId="1"/>
  </si>
  <si>
    <t>RE</t>
    <phoneticPr fontId="1"/>
  </si>
  <si>
    <t>ST</t>
    <phoneticPr fontId="1"/>
  </si>
  <si>
    <t>Failure_ID 障害タイプ ショートコード 備考</t>
  </si>
  <si>
    <t>F01 回避 EV</t>
  </si>
  <si>
    <t>F02 不整合 IN</t>
  </si>
  <si>
    <t>F03 循環 CI</t>
  </si>
  <si>
    <t>F04 偏差 DE</t>
  </si>
  <si>
    <t>F05 拒否 RE</t>
  </si>
  <si>
    <t>F06 停滞 ST</t>
  </si>
  <si>
    <t>WHY_OP_ID WHY演算子名 説明 バージョン</t>
  </si>
  <si>
    <t>W01 シンプルなWhy 「なぜ？」 v0</t>
  </si>
  <si>
    <t>W02 構造化されたWhy 前提 → 因果関係 → 結論 v0</t>
  </si>
  <si>
    <t>W03 不確実性あり 明示的に不明な場合は許可 v0</t>
  </si>
  <si>
    <t>W04 積極的なWhy 仮定に挑戦 v0</t>
  </si>
  <si>
    <t>W99 カスタム 自由記述</t>
  </si>
  <si>
    <t>Domain_ID ドメイン名 説明 備考</t>
  </si>
  <si>
    <t>D01 物理学 自然科学、因果関係</t>
  </si>
  <si>
    <t>D02 AI / ML モデル、トレーニング、推論</t>
  </si>
  <si>
    <t>D03 生物学 生命、進化、システム</t>
  </si>
  <si>
    <t>D04 社会 経済、法律、倫理</t>
  </si>
  <si>
    <t>D05 哲学 なぜ、意味、因果関係</t>
  </si>
  <si>
    <t>D06 日常生活 常識的推論</t>
  </si>
  <si>
    <t>D99 その他 自由分野</t>
  </si>
  <si>
    <t>(Other)</t>
    <phoneticPr fontId="1"/>
  </si>
  <si>
    <t>Project</t>
    <phoneticPr fontId="1"/>
  </si>
  <si>
    <t>Metric</t>
    <phoneticPr fontId="1"/>
  </si>
  <si>
    <t>Measurement type</t>
    <phoneticPr fontId="1"/>
  </si>
  <si>
    <t>Status</t>
    <phoneticPr fontId="1"/>
  </si>
  <si>
    <t>EDiE</t>
    <phoneticPr fontId="1"/>
  </si>
  <si>
    <t>IWR</t>
    <phoneticPr fontId="1"/>
  </si>
  <si>
    <t>Manual</t>
    <phoneticPr fontId="1"/>
  </si>
  <si>
    <t>Exploratory</t>
    <phoneticPr fontId="1"/>
  </si>
  <si>
    <t>項目値</t>
  </si>
  <si>
    <t>実験者：RK</t>
  </si>
  <si>
    <t>プロジェクト EDiE</t>
  </si>
  <si>
    <t>指標 IWR</t>
  </si>
  <si>
    <t>測定タイプ：手動</t>
  </si>
  <si>
    <t>ステータス：探索的</t>
  </si>
  <si>
    <t>Model_ID</t>
    <phoneticPr fontId="1"/>
  </si>
  <si>
    <t>Bankruptcy type ID</t>
    <phoneticPr fontId="1"/>
  </si>
  <si>
    <t>NOTE</t>
    <phoneticPr fontId="1"/>
  </si>
  <si>
    <t>なぜ空は青いのか？</t>
    <phoneticPr fontId="1"/>
  </si>
  <si>
    <t>なぜエネルギー保存則は破れないのか？</t>
    <phoneticPr fontId="1"/>
  </si>
  <si>
    <t>なぜ量子化すると性能が落ちることがあるのか？</t>
  </si>
  <si>
    <t>なぜ同じアルゴリズムでも環境が変わると振る舞いが変わるのか？</t>
    <phoneticPr fontId="1"/>
  </si>
  <si>
    <t>なぜ進化は最適解ではなく局所解に落ち着くことが多いのか？</t>
    <phoneticPr fontId="1"/>
  </si>
  <si>
    <t>なぜ生物は無駄に見える構造を残したまま進化するのか？</t>
    <phoneticPr fontId="1"/>
  </si>
  <si>
    <t>なぜ人間は理由を後付けしてしまうのか？</t>
    <phoneticPr fontId="1"/>
  </si>
  <si>
    <t>なぜ理解できなくても「納得した」と感じることがあるのか？</t>
    <phoneticPr fontId="1"/>
  </si>
  <si>
    <t>なぜ「説明できること」が「正しいこと」と混同されやすいのか？</t>
  </si>
  <si>
    <t>なぜ複雑なシステムほど予測が難しくなるのか？</t>
    <phoneticPr fontId="1"/>
  </si>
  <si>
    <t>Why is the sky blue?</t>
  </si>
  <si>
    <t>Why does the law of energy conservation hold?</t>
    <phoneticPr fontId="1"/>
  </si>
  <si>
    <t>Why does quantization sometimes reduce model performance?</t>
    <phoneticPr fontId="1"/>
  </si>
  <si>
    <t>Why can the same algorithm behave differently in different environments?</t>
    <phoneticPr fontId="1"/>
  </si>
  <si>
    <t>Why does evolution often settle on local optima instead of global optima?</t>
    <phoneticPr fontId="1"/>
  </si>
  <si>
    <t>Why do organisms retain seemingly inefficient structures?</t>
    <phoneticPr fontId="1"/>
  </si>
  <si>
    <t>Why do humans tend to rationalize decisions after making them?</t>
    <phoneticPr fontId="1"/>
  </si>
  <si>
    <t>Why can people feel satisfied without fully understanding something?</t>
    <phoneticPr fontId="1"/>
  </si>
  <si>
    <t>Why is “being explainable” often mistaken for “being correct”?</t>
    <phoneticPr fontId="1"/>
  </si>
  <si>
    <t>Why do complex systems become harder to predict as they grow?</t>
    <phoneticPr fontId="1"/>
  </si>
  <si>
    <t>IWR Measurement Workbook</t>
  </si>
  <si>
    <t>Iterative Why Robustness (IWR) – Manual Measurement Template</t>
  </si>
  <si>
    <t>1. このExcelの目的</t>
  </si>
  <si>
    <t>このワークブックは、</t>
  </si>
  <si>
    <r>
      <t>IWR（Iterative Why Robustness）</t>
    </r>
    <r>
      <rPr>
        <sz val="11"/>
        <color theme="1"/>
        <rFont val="Yu Gothic"/>
        <family val="2"/>
        <scheme val="minor"/>
      </rPr>
      <t xml:space="preserve"> を用いて</t>
    </r>
  </si>
  <si>
    <t>LLM / AIシステムの</t>
  </si>
  <si>
    <r>
      <t>「なぜ？」に対する意味的・因果的耐性</t>
    </r>
    <r>
      <rPr>
        <sz val="11"/>
        <color theme="1"/>
        <rFont val="Yu Gothic"/>
        <family val="2"/>
        <scheme val="minor"/>
      </rPr>
      <t>を</t>
    </r>
  </si>
  <si>
    <r>
      <t>手動で再現性高く測定する</t>
    </r>
    <r>
      <rPr>
        <sz val="11"/>
        <color theme="1"/>
        <rFont val="Yu Gothic"/>
        <family val="2"/>
        <scheme val="minor"/>
      </rPr>
      <t>ための実験テンプレートです。</t>
    </r>
  </si>
  <si>
    <t>本テンプレは以下を目的とします：</t>
  </si>
  <si>
    <t>初期IWR実測（自動化前）</t>
  </si>
  <si>
    <t>モデル間の比較</t>
  </si>
  <si>
    <t>破綻パターンの収集</t>
  </si>
  <si>
    <t>後続の自動ベンチマーク設計への橋渡し</t>
  </si>
  <si>
    <t>2. 基本思想（重要）</t>
  </si>
  <si>
    <t>1行 = 1ステップ</t>
  </si>
  <si>
    <r>
      <t>「Why → Answer → 次のWhy」を</t>
    </r>
    <r>
      <rPr>
        <b/>
        <sz val="11"/>
        <color theme="1"/>
        <rFont val="Yu Gothic"/>
        <family val="3"/>
        <charset val="128"/>
        <scheme val="minor"/>
      </rPr>
      <t>逐次記録</t>
    </r>
  </si>
  <si>
    <t>数値スコアよりも</t>
  </si>
  <si>
    <r>
      <t>破綻の仕方・傾向の観察</t>
    </r>
    <r>
      <rPr>
        <sz val="11"/>
        <color theme="1"/>
        <rFont val="Yu Gothic"/>
        <family val="2"/>
        <scheme val="minor"/>
      </rPr>
      <t>を重視</t>
    </r>
  </si>
  <si>
    <t>IWRは「正解率」ではありません。</t>
  </si>
  <si>
    <r>
      <t>意味がどこまで保たれるか</t>
    </r>
    <r>
      <rPr>
        <sz val="11"/>
        <color theme="1"/>
        <rFont val="Yu Gothic"/>
        <family val="2"/>
        <scheme val="minor"/>
      </rPr>
      <t>を測る指標です。</t>
    </r>
  </si>
  <si>
    <t>3. シート構成</t>
  </si>
  <si>
    <t>■ Overview</t>
  </si>
  <si>
    <t>実験メタ情報（日時、実験者、条件）</t>
  </si>
  <si>
    <t>最大深さ K</t>
  </si>
  <si>
    <t>使用言語</t>
  </si>
  <si>
    <t>■ Models</t>
  </si>
  <si>
    <t>実験対象のAIモデル一覧</t>
  </si>
  <si>
    <t>Model_ID を主キーとして使用</t>
  </si>
  <si>
    <t>■ PO_JA / PO_EN</t>
  </si>
  <si>
    <t>種問（P0）一覧</t>
  </si>
  <si>
    <t>ドメイン分散を意識して選定</t>
  </si>
  <si>
    <t>■ IWR Measurement Log (Main)</t>
  </si>
  <si>
    <t>このシートが実験の本体です</t>
  </si>
  <si>
    <t>主な列：</t>
  </si>
  <si>
    <t>Model_Name / Model_ID</t>
  </si>
  <si>
    <t>k（ステップ番号）</t>
  </si>
  <si>
    <t>Why（質問）</t>
  </si>
  <si>
    <t>Answer（回答）</t>
  </si>
  <si>
    <t>New causal factors [Y/N]</t>
  </si>
  <si>
    <t>contradiction / deviation / bankruptcy [Y/N]</t>
  </si>
  <si>
    <t>Bankruptcy type（プルダウン）</t>
  </si>
  <si>
    <t>Notes（自由記述）</t>
  </si>
  <si>
    <t>■ Bankruptcy type definition</t>
  </si>
  <si>
    <t>破綻タイプの定義表</t>
  </si>
  <si>
    <t>評価のブレ防止用</t>
  </si>
  <si>
    <t>4. 実験手順（手動）</t>
  </si>
  <si>
    <t>1. Model を選択</t>
  </si>
  <si>
    <t>2. Seed Question（P0）を選択</t>
  </si>
  <si>
    <t>3. k=0 から開始</t>
  </si>
  <si>
    <t>4. 回答を記録</t>
  </si>
  <si>
    <r>
      <t>5. 前提→因果→結論</t>
    </r>
    <r>
      <rPr>
        <sz val="11"/>
        <color theme="1"/>
        <rFont val="Yu Gothic"/>
        <family val="2"/>
        <scheme val="minor"/>
      </rPr>
      <t>を狙って次の Why を生成</t>
    </r>
  </si>
  <si>
    <t>6. 破綻が起きたら停止</t>
  </si>
  <si>
    <r>
      <t xml:space="preserve">7. その時点の k を </t>
    </r>
    <r>
      <rPr>
        <b/>
        <sz val="11"/>
        <color theme="1"/>
        <rFont val="Yu Gothic"/>
        <family val="3"/>
        <charset val="128"/>
        <scheme val="minor"/>
      </rPr>
      <t>IWR値</t>
    </r>
    <r>
      <rPr>
        <sz val="11"/>
        <color theme="1"/>
        <rFont val="Yu Gothic"/>
        <family val="2"/>
        <scheme val="minor"/>
      </rPr>
      <t>とする</t>
    </r>
  </si>
  <si>
    <t>5. 破綻判定の考え方</t>
  </si>
  <si>
    <t>以下のいずれかが明確に現れたら「破綻」とする：</t>
  </si>
  <si>
    <t>回避（Evasion）</t>
  </si>
  <si>
    <t>矛盾（Inconsistency）</t>
  </si>
  <si>
    <t>循環（Circular）</t>
  </si>
  <si>
    <t>話題逸脱（Deviation）</t>
  </si>
  <si>
    <t>ポリシー拒否の増殖（Rejection）</t>
  </si>
  <si>
    <t>表現のみ変化（Stagnation）</t>
  </si>
  <si>
    <r>
      <t xml:space="preserve">※ </t>
    </r>
    <r>
      <rPr>
        <b/>
        <sz val="11"/>
        <color theme="1"/>
        <rFont val="Yu Gothic"/>
        <family val="3"/>
        <charset val="128"/>
        <scheme val="minor"/>
      </rPr>
      <t>迷ったら Notes に理由を書く</t>
    </r>
  </si>
  <si>
    <t>　後で分析対象になります。</t>
  </si>
  <si>
    <t>6. 注意事項</t>
  </si>
  <si>
    <t>完璧を目指さない</t>
  </si>
  <si>
    <r>
      <t xml:space="preserve">最初は </t>
    </r>
    <r>
      <rPr>
        <b/>
        <sz val="11"/>
        <color theme="1"/>
        <rFont val="Yu Gothic"/>
        <family val="3"/>
        <charset val="128"/>
        <scheme val="minor"/>
      </rPr>
      <t>10問 × 数モデル</t>
    </r>
    <r>
      <rPr>
        <sz val="11"/>
        <color theme="1"/>
        <rFont val="Yu Gothic"/>
        <family val="2"/>
        <scheme val="minor"/>
      </rPr>
      <t>で十分</t>
    </r>
  </si>
  <si>
    <t>手動の「しんどさ」こそ設計知見になる</t>
  </si>
  <si>
    <t>7. ライセンス・利用</t>
  </si>
  <si>
    <t>本テンプレは</t>
  </si>
  <si>
    <t>Evolutionary Discovery Engineering (EDiE)</t>
  </si>
  <si>
    <t>の研究用途として公開されています。</t>
  </si>
  <si>
    <t>改変・再配布・派生研究歓迎。</t>
  </si>
  <si>
    <t>出典表記を推奨します。</t>
  </si>
  <si>
    <t>Iterative Why Robustness (IWR) – Manual Evaluation Template</t>
  </si>
  <si>
    <t>1. Purpose</t>
  </si>
  <si>
    <t>This workbook is designed to manually measure</t>
  </si>
  <si>
    <r>
      <t>Iterative Why Robustness (IWR)</t>
    </r>
    <r>
      <rPr>
        <sz val="11"/>
        <color theme="1"/>
        <rFont val="Yu Gothic"/>
        <family val="2"/>
        <scheme val="minor"/>
      </rPr>
      <t xml:space="preserve"> —</t>
    </r>
  </si>
  <si>
    <t>a metric for evaluating how long an AI system can maintain</t>
  </si>
  <si>
    <r>
      <t>coherent causal reasoning under repeated “why” questioning</t>
    </r>
    <r>
      <rPr>
        <sz val="11"/>
        <color theme="1"/>
        <rFont val="Yu Gothic"/>
        <family val="2"/>
        <scheme val="minor"/>
      </rPr>
      <t>.</t>
    </r>
  </si>
  <si>
    <t>This template is intended for:</t>
  </si>
  <si>
    <t>Initial exploratory measurements</t>
  </si>
  <si>
    <t>Cross-model comparison</t>
  </si>
  <si>
    <t>Failure pattern collection</t>
  </si>
  <si>
    <t>Designing future automated benchmarks</t>
  </si>
  <si>
    <t>2. Core Principles</t>
  </si>
  <si>
    <t>1 row = 1 step</t>
  </si>
  <si>
    <t>Log every Why → Answer → Why iteration</t>
  </si>
  <si>
    <r>
      <t xml:space="preserve">Focus on </t>
    </r>
    <r>
      <rPr>
        <b/>
        <sz val="11"/>
        <color theme="1"/>
        <rFont val="Yu Gothic"/>
        <family val="3"/>
        <charset val="128"/>
        <scheme val="minor"/>
      </rPr>
      <t>failure modes</t>
    </r>
    <r>
      <rPr>
        <sz val="11"/>
        <color theme="1"/>
        <rFont val="Yu Gothic"/>
        <family val="2"/>
        <scheme val="minor"/>
      </rPr>
      <t>, not accuracy</t>
    </r>
  </si>
  <si>
    <t>IWR is not about correctness.</t>
  </si>
  <si>
    <r>
      <t xml:space="preserve">It measures </t>
    </r>
    <r>
      <rPr>
        <b/>
        <sz val="11"/>
        <color theme="1"/>
        <rFont val="Yu Gothic"/>
        <family val="3"/>
        <charset val="128"/>
        <scheme val="minor"/>
      </rPr>
      <t>semantic and causal stability</t>
    </r>
    <r>
      <rPr>
        <sz val="11"/>
        <color theme="1"/>
        <rFont val="Yu Gothic"/>
        <family val="2"/>
        <scheme val="minor"/>
      </rPr>
      <t>.</t>
    </r>
  </si>
  <si>
    <t>3. Sheet Structure</t>
  </si>
  <si>
    <t>Experiment metadata</t>
  </si>
  <si>
    <t>Max depth K</t>
  </si>
  <si>
    <t>WHY template</t>
  </si>
  <si>
    <t>List of tested models</t>
  </si>
  <si>
    <r>
      <t>Model_ID</t>
    </r>
    <r>
      <rPr>
        <sz val="11"/>
        <color theme="1"/>
        <rFont val="Yu Gothic"/>
        <family val="2"/>
        <scheme val="minor"/>
      </rPr>
      <t xml:space="preserve"> is the primary key</t>
    </r>
  </si>
  <si>
    <t>Seed questions (P0)</t>
  </si>
  <si>
    <t>Balanced across domains</t>
  </si>
  <si>
    <t>Main experimental sheet</t>
  </si>
  <si>
    <t>Key columns:</t>
  </si>
  <si>
    <t>k (step index)</t>
  </si>
  <si>
    <t>Bankruptcy type (dropdown)</t>
  </si>
  <si>
    <t>Fixed failure taxonomy</t>
  </si>
  <si>
    <t>Reduces evaluator drift</t>
  </si>
  <si>
    <t>4. Manual Protocol</t>
  </si>
  <si>
    <t>1. Select a model</t>
  </si>
  <si>
    <t>2. Select a seed question (P0)</t>
  </si>
  <si>
    <t>3. Start at k = 0</t>
  </si>
  <si>
    <t>4. Record the answer</t>
  </si>
  <si>
    <t>5. Ask the next “why” targeting:</t>
  </si>
  <si>
    <t>premise → causation → conclusion</t>
  </si>
  <si>
    <t>6. Stop when failure occurs</t>
  </si>
  <si>
    <r>
      <t xml:space="preserve">7. The final k is the </t>
    </r>
    <r>
      <rPr>
        <b/>
        <sz val="11"/>
        <color theme="1"/>
        <rFont val="Yu Gothic"/>
        <family val="3"/>
        <charset val="128"/>
        <scheme val="minor"/>
      </rPr>
      <t>IWR score</t>
    </r>
  </si>
  <si>
    <t>5. Failure Criteria</t>
  </si>
  <si>
    <t>Stop the test when one clearly appears:</t>
  </si>
  <si>
    <t>Logical inconsistency</t>
  </si>
  <si>
    <t>Circular reasoning</t>
  </si>
  <si>
    <t>Topic drift</t>
  </si>
  <si>
    <t>Policy rejection proliferation</t>
  </si>
  <si>
    <t>Wording-only stagnation</t>
  </si>
  <si>
    <r>
      <t xml:space="preserve">If uncertain, </t>
    </r>
    <r>
      <rPr>
        <b/>
        <sz val="11"/>
        <color theme="1"/>
        <rFont val="Yu Gothic"/>
        <family val="3"/>
        <charset val="128"/>
        <scheme val="minor"/>
      </rPr>
      <t>document in Notes</t>
    </r>
    <r>
      <rPr>
        <sz val="11"/>
        <color theme="1"/>
        <rFont val="Yu Gothic"/>
        <family val="2"/>
        <scheme val="minor"/>
      </rPr>
      <t>.</t>
    </r>
  </si>
  <si>
    <t>6. Notes</t>
  </si>
  <si>
    <t>Do not aim for perfection</t>
  </si>
  <si>
    <t>10 seeds × a few models is enough initially</t>
  </si>
  <si>
    <t>Manual friction reveals design insights</t>
  </si>
  <si>
    <t>7. License &amp; Use</t>
  </si>
  <si>
    <t>This template is part of</t>
  </si>
  <si>
    <r>
      <t>Evolutionary Discovery Engineering (EDiE)</t>
    </r>
    <r>
      <rPr>
        <sz val="11"/>
        <color theme="1"/>
        <rFont val="Yu Gothic"/>
        <family val="2"/>
        <scheme val="minor"/>
      </rPr>
      <t xml:space="preserve"> research.</t>
    </r>
  </si>
  <si>
    <t>Reuse, modification, and derivative work are welcome.</t>
  </si>
  <si>
    <t>Attribution is appreciated.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</si>
</sst>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D97B-3A3E-499B-8C78-ADE7EF531B0A}">
  <dimension ref="A1:A150"/>
  <sheetViews>
    <sheetView workbookViewId="0">
      <selection activeCell="A2" sqref="A2"/>
    </sheetView>
  </sheetViews>
  <sheetFormatPr defaultRowHeight="18.75"/>
  <sheetData>
    <row r="1" spans="1:1" ht="30">
      <c r="A1" s="14" t="s">
        <v>278</v>
      </c>
    </row>
    <row r="3" spans="1:1">
      <c r="A3" s="15" t="s">
        <v>351</v>
      </c>
    </row>
    <row r="7" spans="1:1" ht="22.5">
      <c r="A7" s="16" t="s">
        <v>352</v>
      </c>
    </row>
    <row r="9" spans="1:1">
      <c r="A9" t="s">
        <v>353</v>
      </c>
    </row>
    <row r="10" spans="1:1">
      <c r="A10" s="15" t="s">
        <v>354</v>
      </c>
    </row>
    <row r="11" spans="1:1">
      <c r="A11" t="s">
        <v>355</v>
      </c>
    </row>
    <row r="12" spans="1:1">
      <c r="A12" s="15" t="s">
        <v>356</v>
      </c>
    </row>
    <row r="14" spans="1:1">
      <c r="A14" t="s">
        <v>357</v>
      </c>
    </row>
    <row r="15" spans="1:1">
      <c r="A15" s="11"/>
    </row>
    <row r="16" spans="1:1">
      <c r="A16" s="11" t="s">
        <v>358</v>
      </c>
    </row>
    <row r="17" spans="1:1">
      <c r="A17" s="11"/>
    </row>
    <row r="18" spans="1:1">
      <c r="A18" s="11" t="s">
        <v>359</v>
      </c>
    </row>
    <row r="19" spans="1:1">
      <c r="A19" s="11"/>
    </row>
    <row r="20" spans="1:1">
      <c r="A20" s="11" t="s">
        <v>360</v>
      </c>
    </row>
    <row r="21" spans="1:1">
      <c r="A21" s="11"/>
    </row>
    <row r="22" spans="1:1">
      <c r="A22" s="11" t="s">
        <v>361</v>
      </c>
    </row>
    <row r="26" spans="1:1" ht="22.5">
      <c r="A26" s="16" t="s">
        <v>362</v>
      </c>
    </row>
    <row r="27" spans="1:1">
      <c r="A27" s="11"/>
    </row>
    <row r="28" spans="1:1">
      <c r="A28" s="17" t="s">
        <v>363</v>
      </c>
    </row>
    <row r="29" spans="1:1">
      <c r="A29" s="11"/>
    </row>
    <row r="30" spans="1:1">
      <c r="A30" s="11" t="s">
        <v>364</v>
      </c>
    </row>
    <row r="31" spans="1:1">
      <c r="A31" s="11"/>
    </row>
    <row r="32" spans="1:1">
      <c r="A32" s="11" t="s">
        <v>365</v>
      </c>
    </row>
    <row r="34" spans="1:1">
      <c r="A34" t="s">
        <v>366</v>
      </c>
    </row>
    <row r="35" spans="1:1">
      <c r="A35" t="s">
        <v>367</v>
      </c>
    </row>
    <row r="39" spans="1:1" ht="22.5">
      <c r="A39" s="16" t="s">
        <v>368</v>
      </c>
    </row>
    <row r="41" spans="1:1" ht="19.5">
      <c r="A41" s="18" t="s">
        <v>299</v>
      </c>
    </row>
    <row r="42" spans="1:1">
      <c r="A42" s="11"/>
    </row>
    <row r="43" spans="1:1">
      <c r="A43" s="11" t="s">
        <v>369</v>
      </c>
    </row>
    <row r="44" spans="1:1">
      <c r="A44" s="11"/>
    </row>
    <row r="45" spans="1:1">
      <c r="A45" s="11" t="s">
        <v>370</v>
      </c>
    </row>
    <row r="46" spans="1:1">
      <c r="A46" s="11"/>
    </row>
    <row r="47" spans="1:1">
      <c r="A47" s="11" t="s">
        <v>28</v>
      </c>
    </row>
    <row r="48" spans="1:1">
      <c r="A48" s="11"/>
    </row>
    <row r="49" spans="1:1">
      <c r="A49" s="11" t="s">
        <v>371</v>
      </c>
    </row>
    <row r="51" spans="1:1" ht="19.5">
      <c r="A51" s="18" t="s">
        <v>303</v>
      </c>
    </row>
    <row r="52" spans="1:1">
      <c r="A52" s="11"/>
    </row>
    <row r="53" spans="1:1">
      <c r="A53" s="11" t="s">
        <v>372</v>
      </c>
    </row>
    <row r="54" spans="1:1">
      <c r="A54" s="11"/>
    </row>
    <row r="55" spans="1:1">
      <c r="A55" s="19" t="s">
        <v>373</v>
      </c>
    </row>
    <row r="57" spans="1:1" ht="19.5">
      <c r="A57" s="18" t="s">
        <v>306</v>
      </c>
    </row>
    <row r="58" spans="1:1">
      <c r="A58" s="11"/>
    </row>
    <row r="59" spans="1:1">
      <c r="A59" s="11" t="s">
        <v>374</v>
      </c>
    </row>
    <row r="60" spans="1:1">
      <c r="A60" s="11"/>
    </row>
    <row r="61" spans="1:1">
      <c r="A61" s="11" t="s">
        <v>375</v>
      </c>
    </row>
    <row r="63" spans="1:1" ht="19.5">
      <c r="A63" s="18" t="s">
        <v>309</v>
      </c>
    </row>
    <row r="65" spans="1:1">
      <c r="A65" s="15" t="s">
        <v>376</v>
      </c>
    </row>
    <row r="67" spans="1:1">
      <c r="A67" t="s">
        <v>377</v>
      </c>
    </row>
    <row r="68" spans="1:1">
      <c r="A68" s="11"/>
    </row>
    <row r="69" spans="1:1">
      <c r="A69" s="11" t="s">
        <v>312</v>
      </c>
    </row>
    <row r="70" spans="1:1">
      <c r="A70" s="11"/>
    </row>
    <row r="71" spans="1:1">
      <c r="A71" s="11" t="s">
        <v>63</v>
      </c>
    </row>
    <row r="72" spans="1:1">
      <c r="A72" s="11"/>
    </row>
    <row r="73" spans="1:1">
      <c r="A73" s="11" t="s">
        <v>378</v>
      </c>
    </row>
    <row r="74" spans="1:1">
      <c r="A74" s="11"/>
    </row>
    <row r="75" spans="1:1">
      <c r="A75" s="11" t="s">
        <v>65</v>
      </c>
    </row>
    <row r="76" spans="1:1">
      <c r="A76" s="11"/>
    </row>
    <row r="77" spans="1:1">
      <c r="A77" s="11" t="s">
        <v>67</v>
      </c>
    </row>
    <row r="78" spans="1:1">
      <c r="A78" s="11"/>
    </row>
    <row r="79" spans="1:1">
      <c r="A79" s="11" t="s">
        <v>316</v>
      </c>
    </row>
    <row r="80" spans="1:1">
      <c r="A80" s="11"/>
    </row>
    <row r="81" spans="1:1">
      <c r="A81" s="11" t="s">
        <v>317</v>
      </c>
    </row>
    <row r="82" spans="1:1">
      <c r="A82" s="11"/>
    </row>
    <row r="83" spans="1:1">
      <c r="A83" s="11" t="s">
        <v>379</v>
      </c>
    </row>
    <row r="84" spans="1:1">
      <c r="A84" s="11"/>
    </row>
    <row r="85" spans="1:1">
      <c r="A85" s="11" t="s">
        <v>33</v>
      </c>
    </row>
    <row r="87" spans="1:1" ht="19.5">
      <c r="A87" s="18" t="s">
        <v>320</v>
      </c>
    </row>
    <row r="88" spans="1:1">
      <c r="A88" s="11"/>
    </row>
    <row r="89" spans="1:1">
      <c r="A89" s="11" t="s">
        <v>380</v>
      </c>
    </row>
    <row r="90" spans="1:1">
      <c r="A90" s="11"/>
    </row>
    <row r="91" spans="1:1">
      <c r="A91" s="11" t="s">
        <v>381</v>
      </c>
    </row>
    <row r="95" spans="1:1" ht="22.5">
      <c r="A95" s="16" t="s">
        <v>382</v>
      </c>
    </row>
    <row r="96" spans="1:1">
      <c r="A96" s="11"/>
    </row>
    <row r="97" spans="1:1">
      <c r="A97" s="11" t="s">
        <v>383</v>
      </c>
    </row>
    <row r="98" spans="1:1">
      <c r="A98" s="11"/>
    </row>
    <row r="99" spans="1:1">
      <c r="A99" s="11" t="s">
        <v>384</v>
      </c>
    </row>
    <row r="100" spans="1:1">
      <c r="A100" s="11"/>
    </row>
    <row r="101" spans="1:1">
      <c r="A101" s="11" t="s">
        <v>385</v>
      </c>
    </row>
    <row r="102" spans="1:1">
      <c r="A102" s="11"/>
    </row>
    <row r="103" spans="1:1">
      <c r="A103" s="11" t="s">
        <v>386</v>
      </c>
    </row>
    <row r="104" spans="1:1">
      <c r="A104" s="11"/>
    </row>
    <row r="105" spans="1:1">
      <c r="A105" s="11" t="s">
        <v>387</v>
      </c>
    </row>
    <row r="106" spans="1:1">
      <c r="A106" s="17" t="s">
        <v>388</v>
      </c>
    </row>
    <row r="107" spans="1:1">
      <c r="A107" s="11"/>
    </row>
    <row r="108" spans="1:1">
      <c r="A108" s="11" t="s">
        <v>389</v>
      </c>
    </row>
    <row r="109" spans="1:1">
      <c r="A109" s="11"/>
    </row>
    <row r="110" spans="1:1">
      <c r="A110" s="11" t="s">
        <v>390</v>
      </c>
    </row>
    <row r="114" spans="1:1" ht="22.5">
      <c r="A114" s="16" t="s">
        <v>391</v>
      </c>
    </row>
    <row r="116" spans="1:1">
      <c r="A116" t="s">
        <v>392</v>
      </c>
    </row>
    <row r="117" spans="1:1">
      <c r="A117" s="11"/>
    </row>
    <row r="118" spans="1:1">
      <c r="A118" s="11" t="s">
        <v>83</v>
      </c>
    </row>
    <row r="119" spans="1:1">
      <c r="A119" s="11"/>
    </row>
    <row r="120" spans="1:1">
      <c r="A120" s="11" t="s">
        <v>393</v>
      </c>
    </row>
    <row r="121" spans="1:1">
      <c r="A121" s="11"/>
    </row>
    <row r="122" spans="1:1">
      <c r="A122" s="11" t="s">
        <v>394</v>
      </c>
    </row>
    <row r="123" spans="1:1">
      <c r="A123" s="11"/>
    </row>
    <row r="124" spans="1:1">
      <c r="A124" s="11" t="s">
        <v>395</v>
      </c>
    </row>
    <row r="125" spans="1:1">
      <c r="A125" s="11"/>
    </row>
    <row r="126" spans="1:1">
      <c r="A126" s="11" t="s">
        <v>396</v>
      </c>
    </row>
    <row r="127" spans="1:1">
      <c r="A127" s="11"/>
    </row>
    <row r="128" spans="1:1">
      <c r="A128" s="11" t="s">
        <v>397</v>
      </c>
    </row>
    <row r="130" spans="1:1">
      <c r="A130" t="s">
        <v>398</v>
      </c>
    </row>
    <row r="134" spans="1:1" ht="22.5">
      <c r="A134" s="16" t="s">
        <v>399</v>
      </c>
    </row>
    <row r="135" spans="1:1">
      <c r="A135" s="11"/>
    </row>
    <row r="136" spans="1:1">
      <c r="A136" s="11" t="s">
        <v>400</v>
      </c>
    </row>
    <row r="137" spans="1:1">
      <c r="A137" s="11"/>
    </row>
    <row r="138" spans="1:1">
      <c r="A138" s="11" t="s">
        <v>401</v>
      </c>
    </row>
    <row r="139" spans="1:1">
      <c r="A139" s="11"/>
    </row>
    <row r="140" spans="1:1">
      <c r="A140" s="11" t="s">
        <v>402</v>
      </c>
    </row>
    <row r="144" spans="1:1" ht="22.5">
      <c r="A144" s="16" t="s">
        <v>403</v>
      </c>
    </row>
    <row r="146" spans="1:1">
      <c r="A146" t="s">
        <v>404</v>
      </c>
    </row>
    <row r="147" spans="1:1">
      <c r="A147" s="15" t="s">
        <v>405</v>
      </c>
    </row>
    <row r="149" spans="1:1">
      <c r="A149" t="s">
        <v>406</v>
      </c>
    </row>
    <row r="150" spans="1:1">
      <c r="A150" t="s">
        <v>407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07DF-31ED-42B3-B46C-3043B48EAC32}">
  <dimension ref="A1:A153"/>
  <sheetViews>
    <sheetView workbookViewId="0">
      <selection activeCell="L20" sqref="L20"/>
    </sheetView>
  </sheetViews>
  <sheetFormatPr defaultRowHeight="18.75"/>
  <sheetData>
    <row r="1" spans="1:1" ht="30">
      <c r="A1" s="14" t="s">
        <v>278</v>
      </c>
    </row>
    <row r="3" spans="1:1">
      <c r="A3" s="15" t="s">
        <v>279</v>
      </c>
    </row>
    <row r="7" spans="1:1" ht="22.5">
      <c r="A7" s="16" t="s">
        <v>280</v>
      </c>
    </row>
    <row r="9" spans="1:1">
      <c r="A9" t="s">
        <v>281</v>
      </c>
    </row>
    <row r="10" spans="1:1">
      <c r="A10" s="15" t="s">
        <v>282</v>
      </c>
    </row>
    <row r="11" spans="1:1">
      <c r="A11" t="s">
        <v>283</v>
      </c>
    </row>
    <row r="12" spans="1:1">
      <c r="A12" s="15" t="s">
        <v>284</v>
      </c>
    </row>
    <row r="13" spans="1:1">
      <c r="A13" s="15" t="s">
        <v>285</v>
      </c>
    </row>
    <row r="15" spans="1:1">
      <c r="A15" t="s">
        <v>286</v>
      </c>
    </row>
    <row r="16" spans="1:1">
      <c r="A16" s="11"/>
    </row>
    <row r="17" spans="1:1">
      <c r="A17" s="11" t="s">
        <v>287</v>
      </c>
    </row>
    <row r="18" spans="1:1">
      <c r="A18" s="11"/>
    </row>
    <row r="19" spans="1:1">
      <c r="A19" s="11" t="s">
        <v>288</v>
      </c>
    </row>
    <row r="20" spans="1:1">
      <c r="A20" s="11"/>
    </row>
    <row r="21" spans="1:1">
      <c r="A21" s="11" t="s">
        <v>289</v>
      </c>
    </row>
    <row r="22" spans="1:1">
      <c r="A22" s="11"/>
    </row>
    <row r="23" spans="1:1">
      <c r="A23" s="11" t="s">
        <v>290</v>
      </c>
    </row>
    <row r="27" spans="1:1" ht="22.5">
      <c r="A27" s="16" t="s">
        <v>291</v>
      </c>
    </row>
    <row r="28" spans="1:1">
      <c r="A28" s="11"/>
    </row>
    <row r="29" spans="1:1">
      <c r="A29" s="17" t="s">
        <v>292</v>
      </c>
    </row>
    <row r="30" spans="1:1">
      <c r="A30" s="11"/>
    </row>
    <row r="31" spans="1:1">
      <c r="A31" s="11" t="s">
        <v>293</v>
      </c>
    </row>
    <row r="32" spans="1:1">
      <c r="A32" s="11"/>
    </row>
    <row r="33" spans="1:1">
      <c r="A33" s="11" t="s">
        <v>294</v>
      </c>
    </row>
    <row r="34" spans="1:1">
      <c r="A34" s="17" t="s">
        <v>295</v>
      </c>
    </row>
    <row r="36" spans="1:1">
      <c r="A36" t="s">
        <v>296</v>
      </c>
    </row>
    <row r="37" spans="1:1">
      <c r="A37" s="15" t="s">
        <v>297</v>
      </c>
    </row>
    <row r="41" spans="1:1" ht="22.5">
      <c r="A41" s="16" t="s">
        <v>298</v>
      </c>
    </row>
    <row r="43" spans="1:1" ht="19.5">
      <c r="A43" s="18" t="s">
        <v>299</v>
      </c>
    </row>
    <row r="44" spans="1:1">
      <c r="A44" s="11"/>
    </row>
    <row r="45" spans="1:1">
      <c r="A45" s="11" t="s">
        <v>300</v>
      </c>
    </row>
    <row r="46" spans="1:1">
      <c r="A46" s="11"/>
    </row>
    <row r="47" spans="1:1">
      <c r="A47" s="11" t="s">
        <v>301</v>
      </c>
    </row>
    <row r="48" spans="1:1">
      <c r="A48" s="11"/>
    </row>
    <row r="49" spans="1:1">
      <c r="A49" s="11" t="s">
        <v>302</v>
      </c>
    </row>
    <row r="50" spans="1:1">
      <c r="A50" s="11"/>
    </row>
    <row r="51" spans="1:1">
      <c r="A51" s="11" t="s">
        <v>11</v>
      </c>
    </row>
    <row r="53" spans="1:1" ht="19.5">
      <c r="A53" s="18" t="s">
        <v>303</v>
      </c>
    </row>
    <row r="54" spans="1:1">
      <c r="A54" s="11"/>
    </row>
    <row r="55" spans="1:1">
      <c r="A55" s="11" t="s">
        <v>304</v>
      </c>
    </row>
    <row r="56" spans="1:1">
      <c r="A56" s="11"/>
    </row>
    <row r="57" spans="1:1">
      <c r="A57" s="11" t="s">
        <v>305</v>
      </c>
    </row>
    <row r="59" spans="1:1" ht="19.5">
      <c r="A59" s="18" t="s">
        <v>306</v>
      </c>
    </row>
    <row r="60" spans="1:1">
      <c r="A60" s="11"/>
    </row>
    <row r="61" spans="1:1">
      <c r="A61" s="11" t="s">
        <v>307</v>
      </c>
    </row>
    <row r="62" spans="1:1">
      <c r="A62" s="11"/>
    </row>
    <row r="63" spans="1:1">
      <c r="A63" s="11" t="s">
        <v>308</v>
      </c>
    </row>
    <row r="65" spans="1:1" ht="19.5">
      <c r="A65" s="18" t="s">
        <v>309</v>
      </c>
    </row>
    <row r="67" spans="1:1">
      <c r="A67" s="15" t="s">
        <v>310</v>
      </c>
    </row>
    <row r="69" spans="1:1">
      <c r="A69" t="s">
        <v>311</v>
      </c>
    </row>
    <row r="70" spans="1:1">
      <c r="A70" s="11"/>
    </row>
    <row r="71" spans="1:1">
      <c r="A71" s="11" t="s">
        <v>312</v>
      </c>
    </row>
    <row r="72" spans="1:1">
      <c r="A72" s="11"/>
    </row>
    <row r="73" spans="1:1">
      <c r="A73" s="11" t="s">
        <v>63</v>
      </c>
    </row>
    <row r="74" spans="1:1">
      <c r="A74" s="11"/>
    </row>
    <row r="75" spans="1:1">
      <c r="A75" s="11" t="s">
        <v>313</v>
      </c>
    </row>
    <row r="76" spans="1:1">
      <c r="A76" s="11"/>
    </row>
    <row r="77" spans="1:1">
      <c r="A77" s="11" t="s">
        <v>314</v>
      </c>
    </row>
    <row r="78" spans="1:1">
      <c r="A78" s="11"/>
    </row>
    <row r="79" spans="1:1">
      <c r="A79" s="11" t="s">
        <v>315</v>
      </c>
    </row>
    <row r="80" spans="1:1">
      <c r="A80" s="11"/>
    </row>
    <row r="81" spans="1:1">
      <c r="A81" s="11" t="s">
        <v>316</v>
      </c>
    </row>
    <row r="82" spans="1:1">
      <c r="A82" s="11"/>
    </row>
    <row r="83" spans="1:1">
      <c r="A83" s="11" t="s">
        <v>317</v>
      </c>
    </row>
    <row r="84" spans="1:1">
      <c r="A84" s="11"/>
    </row>
    <row r="85" spans="1:1">
      <c r="A85" s="11" t="s">
        <v>318</v>
      </c>
    </row>
    <row r="86" spans="1:1">
      <c r="A86" s="11"/>
    </row>
    <row r="87" spans="1:1">
      <c r="A87" s="11" t="s">
        <v>319</v>
      </c>
    </row>
    <row r="89" spans="1:1" ht="19.5">
      <c r="A89" s="18" t="s">
        <v>320</v>
      </c>
    </row>
    <row r="90" spans="1:1">
      <c r="A90" s="11"/>
    </row>
    <row r="91" spans="1:1">
      <c r="A91" s="11" t="s">
        <v>321</v>
      </c>
    </row>
    <row r="92" spans="1:1">
      <c r="A92" s="11"/>
    </row>
    <row r="93" spans="1:1">
      <c r="A93" s="11" t="s">
        <v>322</v>
      </c>
    </row>
    <row r="97" spans="1:1" ht="22.5">
      <c r="A97" s="16" t="s">
        <v>323</v>
      </c>
    </row>
    <row r="98" spans="1:1">
      <c r="A98" s="11"/>
    </row>
    <row r="99" spans="1:1">
      <c r="A99" s="11" t="s">
        <v>324</v>
      </c>
    </row>
    <row r="100" spans="1:1">
      <c r="A100" s="11"/>
    </row>
    <row r="101" spans="1:1">
      <c r="A101" s="11" t="s">
        <v>325</v>
      </c>
    </row>
    <row r="102" spans="1:1">
      <c r="A102" s="11"/>
    </row>
    <row r="103" spans="1:1">
      <c r="A103" s="11" t="s">
        <v>326</v>
      </c>
    </row>
    <row r="104" spans="1:1">
      <c r="A104" s="11"/>
    </row>
    <row r="105" spans="1:1">
      <c r="A105" s="11" t="s">
        <v>327</v>
      </c>
    </row>
    <row r="106" spans="1:1">
      <c r="A106" s="11"/>
    </row>
    <row r="107" spans="1:1">
      <c r="A107" s="17" t="s">
        <v>328</v>
      </c>
    </row>
    <row r="108" spans="1:1">
      <c r="A108" s="11"/>
    </row>
    <row r="109" spans="1:1">
      <c r="A109" s="11" t="s">
        <v>329</v>
      </c>
    </row>
    <row r="110" spans="1:1">
      <c r="A110" s="11"/>
    </row>
    <row r="111" spans="1:1">
      <c r="A111" s="11" t="s">
        <v>330</v>
      </c>
    </row>
    <row r="115" spans="1:1" ht="22.5">
      <c r="A115" s="16" t="s">
        <v>331</v>
      </c>
    </row>
    <row r="117" spans="1:1">
      <c r="A117" t="s">
        <v>332</v>
      </c>
    </row>
    <row r="118" spans="1:1">
      <c r="A118" s="11"/>
    </row>
    <row r="119" spans="1:1">
      <c r="A119" s="11" t="s">
        <v>333</v>
      </c>
    </row>
    <row r="120" spans="1:1">
      <c r="A120" s="11"/>
    </row>
    <row r="121" spans="1:1">
      <c r="A121" s="11" t="s">
        <v>334</v>
      </c>
    </row>
    <row r="122" spans="1:1">
      <c r="A122" s="11"/>
    </row>
    <row r="123" spans="1:1">
      <c r="A123" s="11" t="s">
        <v>335</v>
      </c>
    </row>
    <row r="124" spans="1:1">
      <c r="A124" s="11"/>
    </row>
    <row r="125" spans="1:1">
      <c r="A125" s="11" t="s">
        <v>336</v>
      </c>
    </row>
    <row r="126" spans="1:1">
      <c r="A126" s="11"/>
    </row>
    <row r="127" spans="1:1">
      <c r="A127" s="11" t="s">
        <v>337</v>
      </c>
    </row>
    <row r="128" spans="1:1">
      <c r="A128" s="11"/>
    </row>
    <row r="129" spans="1:1">
      <c r="A129" s="11" t="s">
        <v>338</v>
      </c>
    </row>
    <row r="131" spans="1:1">
      <c r="A131" t="s">
        <v>339</v>
      </c>
    </row>
    <row r="132" spans="1:1">
      <c r="A132" t="s">
        <v>340</v>
      </c>
    </row>
    <row r="136" spans="1:1" ht="22.5">
      <c r="A136" s="16" t="s">
        <v>341</v>
      </c>
    </row>
    <row r="137" spans="1:1">
      <c r="A137" s="11"/>
    </row>
    <row r="138" spans="1:1">
      <c r="A138" s="11" t="s">
        <v>342</v>
      </c>
    </row>
    <row r="139" spans="1:1">
      <c r="A139" s="11"/>
    </row>
    <row r="140" spans="1:1">
      <c r="A140" s="11" t="s">
        <v>343</v>
      </c>
    </row>
    <row r="141" spans="1:1">
      <c r="A141" s="11"/>
    </row>
    <row r="142" spans="1:1">
      <c r="A142" s="11" t="s">
        <v>344</v>
      </c>
    </row>
    <row r="146" spans="1:1" ht="22.5">
      <c r="A146" s="16" t="s">
        <v>345</v>
      </c>
    </row>
    <row r="148" spans="1:1">
      <c r="A148" t="s">
        <v>346</v>
      </c>
    </row>
    <row r="149" spans="1:1">
      <c r="A149" s="15" t="s">
        <v>347</v>
      </c>
    </row>
    <row r="150" spans="1:1">
      <c r="A150" t="s">
        <v>348</v>
      </c>
    </row>
    <row r="152" spans="1:1">
      <c r="A152" t="s">
        <v>349</v>
      </c>
    </row>
    <row r="153" spans="1:1">
      <c r="A153" t="s">
        <v>350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12" sqref="A12"/>
    </sheetView>
  </sheetViews>
  <sheetFormatPr defaultRowHeight="18.75"/>
  <cols>
    <col min="1" max="1" width="20.625" style="2" bestFit="1" customWidth="1"/>
    <col min="2" max="2" width="13.625" style="3" bestFit="1" customWidth="1"/>
    <col min="3" max="3" width="24.75" style="2" bestFit="1" customWidth="1"/>
    <col min="4" max="4" width="21.375" style="2" bestFit="1" customWidth="1"/>
  </cols>
  <sheetData>
    <row r="1" spans="1:4">
      <c r="A1" s="10" t="s">
        <v>112</v>
      </c>
    </row>
    <row r="2" spans="1:4">
      <c r="A2" s="5" t="s">
        <v>0</v>
      </c>
      <c r="B2" s="6" t="s">
        <v>3</v>
      </c>
      <c r="C2" s="5" t="s">
        <v>2</v>
      </c>
      <c r="D2" s="5" t="s">
        <v>4</v>
      </c>
    </row>
    <row r="3" spans="1:4">
      <c r="A3" s="5" t="s">
        <v>14</v>
      </c>
      <c r="B3" s="6" t="s">
        <v>5</v>
      </c>
      <c r="C3" s="5" t="s">
        <v>15</v>
      </c>
      <c r="D3" s="5" t="s">
        <v>15</v>
      </c>
    </row>
    <row r="4" spans="1:4">
      <c r="A4" s="5" t="s">
        <v>24</v>
      </c>
      <c r="B4" s="6" t="s">
        <v>6</v>
      </c>
      <c r="C4" s="5"/>
      <c r="D4" s="5" t="s">
        <v>17</v>
      </c>
    </row>
    <row r="5" spans="1:4">
      <c r="A5" s="5" t="s">
        <v>25</v>
      </c>
      <c r="B5" s="6" t="s">
        <v>7</v>
      </c>
      <c r="C5" s="5" t="s">
        <v>16</v>
      </c>
      <c r="D5" s="5" t="s">
        <v>16</v>
      </c>
    </row>
    <row r="6" spans="1:4" s="4" customFormat="1" ht="37.5">
      <c r="A6" s="6" t="s">
        <v>26</v>
      </c>
      <c r="B6" s="6" t="s">
        <v>8</v>
      </c>
      <c r="C6" s="7" t="s">
        <v>27</v>
      </c>
      <c r="D6" s="7" t="s">
        <v>18</v>
      </c>
    </row>
    <row r="7" spans="1:4">
      <c r="A7" s="5" t="s">
        <v>29</v>
      </c>
      <c r="B7" s="6" t="s">
        <v>9</v>
      </c>
      <c r="C7" s="5" t="s">
        <v>30</v>
      </c>
      <c r="D7" s="5" t="s">
        <v>19</v>
      </c>
    </row>
    <row r="8" spans="1:4">
      <c r="A8" s="5" t="s">
        <v>31</v>
      </c>
      <c r="B8" s="6" t="s">
        <v>10</v>
      </c>
      <c r="C8" s="5">
        <v>15</v>
      </c>
      <c r="D8" s="5">
        <v>15</v>
      </c>
    </row>
    <row r="9" spans="1:4" ht="112.5">
      <c r="A9" s="6" t="s">
        <v>32</v>
      </c>
      <c r="B9" s="6" t="s">
        <v>12</v>
      </c>
      <c r="C9" s="8" t="s">
        <v>21</v>
      </c>
      <c r="D9" s="7" t="s">
        <v>20</v>
      </c>
    </row>
    <row r="10" spans="1:4">
      <c r="A10" s="5" t="s">
        <v>34</v>
      </c>
      <c r="B10" s="6" t="s">
        <v>13</v>
      </c>
      <c r="C10" s="5" t="s">
        <v>23</v>
      </c>
      <c r="D10" s="5" t="s">
        <v>22</v>
      </c>
    </row>
  </sheetData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95EC-B021-49E0-930C-E5A745856069}">
  <sheetPr>
    <pageSetUpPr fitToPage="1"/>
  </sheetPr>
  <dimension ref="A1:F13"/>
  <sheetViews>
    <sheetView workbookViewId="0">
      <selection activeCell="C17" sqref="C17"/>
    </sheetView>
  </sheetViews>
  <sheetFormatPr defaultRowHeight="18.75"/>
  <cols>
    <col min="1" max="1" width="10.125" customWidth="1"/>
    <col min="2" max="2" width="20" customWidth="1"/>
    <col min="3" max="3" width="16.25" bestFit="1" customWidth="1"/>
    <col min="4" max="4" width="13.375" customWidth="1"/>
    <col min="5" max="5" width="13.125" bestFit="1" customWidth="1"/>
    <col min="6" max="6" width="14.875" bestFit="1" customWidth="1"/>
    <col min="8" max="8" width="16.125" bestFit="1" customWidth="1"/>
  </cols>
  <sheetData>
    <row r="1" spans="1:6">
      <c r="A1" s="10" t="s">
        <v>113</v>
      </c>
    </row>
    <row r="2" spans="1:6">
      <c r="A2" s="9" t="s">
        <v>118</v>
      </c>
      <c r="B2" s="9" t="s">
        <v>119</v>
      </c>
      <c r="C2" s="9" t="s">
        <v>36</v>
      </c>
      <c r="D2" s="9" t="s">
        <v>125</v>
      </c>
      <c r="E2" s="9" t="s">
        <v>126</v>
      </c>
      <c r="F2" s="9" t="s">
        <v>34</v>
      </c>
    </row>
    <row r="3" spans="1:6">
      <c r="A3" s="9" t="s">
        <v>120</v>
      </c>
      <c r="B3" s="9" t="s">
        <v>124</v>
      </c>
      <c r="C3" s="9" t="s">
        <v>127</v>
      </c>
      <c r="D3" s="9" t="s">
        <v>128</v>
      </c>
      <c r="E3" s="9" t="s">
        <v>129</v>
      </c>
      <c r="F3" s="9" t="s">
        <v>130</v>
      </c>
    </row>
    <row r="4" spans="1:6">
      <c r="A4" s="9" t="s">
        <v>121</v>
      </c>
      <c r="B4" s="9" t="s">
        <v>131</v>
      </c>
      <c r="C4" s="9" t="s">
        <v>127</v>
      </c>
      <c r="D4" s="9" t="s">
        <v>128</v>
      </c>
      <c r="E4" s="9" t="s">
        <v>129</v>
      </c>
      <c r="F4" s="9" t="s">
        <v>139</v>
      </c>
    </row>
    <row r="5" spans="1:6">
      <c r="A5" s="9" t="s">
        <v>122</v>
      </c>
      <c r="B5" s="9" t="s">
        <v>132</v>
      </c>
      <c r="C5" s="9" t="s">
        <v>135</v>
      </c>
      <c r="D5" s="9" t="s">
        <v>128</v>
      </c>
      <c r="E5" s="9" t="s">
        <v>138</v>
      </c>
      <c r="F5" s="9" t="s">
        <v>140</v>
      </c>
    </row>
    <row r="6" spans="1:6">
      <c r="A6" s="9" t="s">
        <v>123</v>
      </c>
      <c r="B6" s="9" t="s">
        <v>133</v>
      </c>
      <c r="C6" s="9" t="s">
        <v>136</v>
      </c>
      <c r="D6" s="9" t="s">
        <v>128</v>
      </c>
      <c r="E6" s="9" t="s">
        <v>138</v>
      </c>
      <c r="F6" s="9" t="s">
        <v>141</v>
      </c>
    </row>
    <row r="7" spans="1:6">
      <c r="A7" s="9" t="s">
        <v>152</v>
      </c>
      <c r="B7" s="9" t="s">
        <v>134</v>
      </c>
      <c r="C7" s="9" t="s">
        <v>137</v>
      </c>
      <c r="D7" s="9" t="s">
        <v>128</v>
      </c>
      <c r="E7" s="9" t="s">
        <v>137</v>
      </c>
      <c r="F7" s="9" t="s">
        <v>142</v>
      </c>
    </row>
    <row r="8" spans="1:6">
      <c r="A8" s="9"/>
      <c r="B8" s="9"/>
      <c r="C8" s="9"/>
      <c r="D8" s="9"/>
      <c r="E8" s="9"/>
      <c r="F8" s="9"/>
    </row>
    <row r="9" spans="1:6">
      <c r="A9" s="9"/>
      <c r="B9" s="9"/>
      <c r="C9" s="9"/>
      <c r="D9" s="9"/>
      <c r="E9" s="9"/>
      <c r="F9" s="9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A4FC-003A-4AF5-8479-AFFFE1E078DD}">
  <sheetPr>
    <pageSetUpPr fitToPage="1"/>
  </sheetPr>
  <dimension ref="A1:F13"/>
  <sheetViews>
    <sheetView workbookViewId="0">
      <selection activeCell="H2" sqref="H2"/>
    </sheetView>
  </sheetViews>
  <sheetFormatPr defaultRowHeight="18.75"/>
  <cols>
    <col min="1" max="2" width="9" style="3"/>
    <col min="3" max="3" width="62.875" style="3" bestFit="1" customWidth="1"/>
    <col min="4" max="4" width="14" style="3" customWidth="1"/>
    <col min="5" max="5" width="22.375" style="3" bestFit="1" customWidth="1"/>
    <col min="6" max="7" width="9" style="3"/>
    <col min="8" max="8" width="12.125" style="3" bestFit="1" customWidth="1"/>
    <col min="9" max="16384" width="9" style="3"/>
  </cols>
  <sheetData>
    <row r="1" spans="1:6">
      <c r="A1" s="1" t="s">
        <v>114</v>
      </c>
    </row>
    <row r="2" spans="1:6">
      <c r="A2" s="6" t="s">
        <v>37</v>
      </c>
      <c r="B2" s="6" t="s">
        <v>28</v>
      </c>
      <c r="C2" s="6" t="s">
        <v>38</v>
      </c>
      <c r="D2" s="6" t="s">
        <v>39</v>
      </c>
      <c r="E2" s="6" t="s">
        <v>157</v>
      </c>
      <c r="F2" s="6" t="s">
        <v>34</v>
      </c>
    </row>
    <row r="3" spans="1:6">
      <c r="A3" s="6" t="s">
        <v>40</v>
      </c>
      <c r="B3" s="6" t="s">
        <v>41</v>
      </c>
      <c r="C3" s="6" t="s">
        <v>258</v>
      </c>
      <c r="D3" s="6" t="s">
        <v>167</v>
      </c>
      <c r="E3" s="6" t="str">
        <f>_xlfn.XLOOKUP(D3,LISTS01!N:N,LISTS01!M:M,"")</f>
        <v>D01</v>
      </c>
      <c r="F3" s="6"/>
    </row>
    <row r="4" spans="1:6">
      <c r="A4" s="6" t="s">
        <v>42</v>
      </c>
      <c r="B4" s="6" t="s">
        <v>41</v>
      </c>
      <c r="C4" s="6" t="s">
        <v>259</v>
      </c>
      <c r="D4" s="6" t="s">
        <v>166</v>
      </c>
      <c r="E4" s="6" t="str">
        <f>_xlfn.XLOOKUP(D4,LISTS01!N:N,LISTS01!M:M,"")</f>
        <v>D01</v>
      </c>
      <c r="F4" s="6"/>
    </row>
    <row r="5" spans="1:6">
      <c r="A5" s="6" t="s">
        <v>43</v>
      </c>
      <c r="B5" s="6" t="s">
        <v>41</v>
      </c>
      <c r="C5" t="s">
        <v>260</v>
      </c>
      <c r="D5" s="6" t="s">
        <v>168</v>
      </c>
      <c r="E5" s="6" t="str">
        <f>_xlfn.XLOOKUP(D5,LISTS01!N:N,LISTS01!M:M,"")</f>
        <v>D02</v>
      </c>
      <c r="F5" s="6"/>
    </row>
    <row r="6" spans="1:6">
      <c r="A6" s="6" t="s">
        <v>44</v>
      </c>
      <c r="B6" s="6" t="s">
        <v>41</v>
      </c>
      <c r="C6" s="6" t="s">
        <v>261</v>
      </c>
      <c r="D6" s="6" t="s">
        <v>169</v>
      </c>
      <c r="E6" s="6" t="str">
        <f>_xlfn.XLOOKUP(D6,LISTS01!N:N,LISTS01!M:M,"")</f>
        <v>D02</v>
      </c>
      <c r="F6" s="6"/>
    </row>
    <row r="7" spans="1:6">
      <c r="A7" s="6" t="s">
        <v>45</v>
      </c>
      <c r="B7" s="6" t="s">
        <v>41</v>
      </c>
      <c r="C7" s="6" t="s">
        <v>262</v>
      </c>
      <c r="D7" s="6" t="s">
        <v>170</v>
      </c>
      <c r="E7" s="6" t="str">
        <f>_xlfn.XLOOKUP(D7,LISTS01!N:N,LISTS01!M:M,"")</f>
        <v>D03</v>
      </c>
      <c r="F7" s="6"/>
    </row>
    <row r="8" spans="1:6">
      <c r="A8" s="6" t="s">
        <v>46</v>
      </c>
      <c r="B8" s="6" t="s">
        <v>41</v>
      </c>
      <c r="C8" s="6" t="s">
        <v>263</v>
      </c>
      <c r="D8" s="6" t="s">
        <v>170</v>
      </c>
      <c r="E8" s="6" t="str">
        <f>_xlfn.XLOOKUP(D8,LISTS01!N:N,LISTS01!M:M,"")</f>
        <v>D03</v>
      </c>
      <c r="F8" s="6"/>
    </row>
    <row r="9" spans="1:6">
      <c r="A9" s="6" t="s">
        <v>47</v>
      </c>
      <c r="B9" s="6" t="s">
        <v>41</v>
      </c>
      <c r="C9" s="6" t="s">
        <v>264</v>
      </c>
      <c r="D9" s="6" t="s">
        <v>173</v>
      </c>
      <c r="E9" s="6" t="str">
        <f>_xlfn.XLOOKUP(D9,LISTS01!N:N,LISTS01!M:M,"")</f>
        <v>D04</v>
      </c>
      <c r="F9" s="6"/>
    </row>
    <row r="10" spans="1:6">
      <c r="A10" s="6" t="s">
        <v>48</v>
      </c>
      <c r="B10" s="6" t="s">
        <v>41</v>
      </c>
      <c r="C10" s="6" t="s">
        <v>265</v>
      </c>
      <c r="D10" s="6" t="s">
        <v>173</v>
      </c>
      <c r="E10" s="6" t="str">
        <f>_xlfn.XLOOKUP(D10,LISTS01!N:N,LISTS01!M:M,"")</f>
        <v>D04</v>
      </c>
      <c r="F10" s="6"/>
    </row>
    <row r="11" spans="1:6">
      <c r="A11" s="6" t="s">
        <v>49</v>
      </c>
      <c r="B11" s="6" t="s">
        <v>41</v>
      </c>
      <c r="C11" s="9" t="s">
        <v>266</v>
      </c>
      <c r="D11" s="6" t="s">
        <v>175</v>
      </c>
      <c r="E11" s="6" t="str">
        <f>_xlfn.XLOOKUP(D11,LISTS01!N:N,LISTS01!M:M,"")</f>
        <v>D05</v>
      </c>
      <c r="F11" s="6"/>
    </row>
    <row r="12" spans="1:6">
      <c r="A12" s="6" t="s">
        <v>50</v>
      </c>
      <c r="B12" s="6" t="s">
        <v>41</v>
      </c>
      <c r="C12" s="12" t="s">
        <v>267</v>
      </c>
      <c r="D12" s="6" t="s">
        <v>174</v>
      </c>
      <c r="E12" s="6" t="str">
        <f>_xlfn.XLOOKUP(D12,LISTS01!N:N,LISTS01!M:M,"")</f>
        <v>D05</v>
      </c>
      <c r="F12" s="6"/>
    </row>
    <row r="13" spans="1:6">
      <c r="A13" s="6"/>
      <c r="B13" s="6"/>
      <c r="C13" s="6"/>
      <c r="D13" s="6"/>
      <c r="E13" s="6" t="str">
        <f>_xlfn.XLOOKUP(D13,LISTS01!N:N,LISTS01!M:M,"")</f>
        <v>（Question Domains）</v>
      </c>
      <c r="F13" s="6"/>
    </row>
  </sheetData>
  <phoneticPr fontId="1"/>
  <pageMargins left="0.7" right="0.7" top="0.75" bottom="0.75" header="0.3" footer="0.3"/>
  <pageSetup paperSize="9" scale="9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DCDB63-9446-46B0-ADB7-12FCDBE9A079}">
          <x14:formula1>
            <xm:f>LISTS01!$N$3:$N$9</xm:f>
          </x14:formula1>
          <xm:sqref>D3:D13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9E22-B923-422D-BE75-DAC520DE251B}">
  <sheetPr>
    <pageSetUpPr fitToPage="1"/>
  </sheetPr>
  <dimension ref="A1:F13"/>
  <sheetViews>
    <sheetView workbookViewId="0">
      <selection activeCell="H2" sqref="H2"/>
    </sheetView>
  </sheetViews>
  <sheetFormatPr defaultRowHeight="18.75"/>
  <cols>
    <col min="1" max="2" width="9" style="3"/>
    <col min="3" max="3" width="70.5" style="1" bestFit="1" customWidth="1"/>
    <col min="4" max="4" width="14" style="3" customWidth="1"/>
    <col min="5" max="5" width="22.375" style="3" bestFit="1" customWidth="1"/>
    <col min="6" max="7" width="9" style="3"/>
    <col min="8" max="8" width="12.125" style="3" bestFit="1" customWidth="1"/>
    <col min="9" max="16384" width="9" style="3"/>
  </cols>
  <sheetData>
    <row r="1" spans="1:6">
      <c r="A1" s="1" t="s">
        <v>115</v>
      </c>
    </row>
    <row r="2" spans="1:6">
      <c r="A2" s="6" t="s">
        <v>37</v>
      </c>
      <c r="B2" s="6" t="s">
        <v>28</v>
      </c>
      <c r="C2" s="6" t="s">
        <v>38</v>
      </c>
      <c r="D2" s="6" t="s">
        <v>39</v>
      </c>
      <c r="E2" s="6" t="s">
        <v>157</v>
      </c>
      <c r="F2" s="6" t="s">
        <v>34</v>
      </c>
    </row>
    <row r="3" spans="1:6">
      <c r="A3" s="6" t="s">
        <v>51</v>
      </c>
      <c r="B3" s="6" t="s">
        <v>52</v>
      </c>
      <c r="C3" s="10" t="s">
        <v>268</v>
      </c>
      <c r="D3" s="6" t="s">
        <v>166</v>
      </c>
      <c r="E3" s="6" t="str">
        <f>_xlfn.XLOOKUP(D3,LISTS01!N:N,LISTS01!M:M,"")</f>
        <v>D01</v>
      </c>
      <c r="F3" s="6"/>
    </row>
    <row r="4" spans="1:6">
      <c r="A4" s="6" t="s">
        <v>53</v>
      </c>
      <c r="B4" s="6" t="s">
        <v>52</v>
      </c>
      <c r="C4" s="13" t="s">
        <v>269</v>
      </c>
      <c r="D4" s="6" t="s">
        <v>166</v>
      </c>
      <c r="E4" s="6" t="str">
        <f>_xlfn.XLOOKUP(D4,LISTS01!N:N,LISTS01!M:M,"")</f>
        <v>D01</v>
      </c>
      <c r="F4" s="6"/>
    </row>
    <row r="5" spans="1:6">
      <c r="A5" s="6" t="s">
        <v>54</v>
      </c>
      <c r="B5" s="6" t="s">
        <v>52</v>
      </c>
      <c r="C5" s="13" t="s">
        <v>270</v>
      </c>
      <c r="D5" s="6" t="s">
        <v>168</v>
      </c>
      <c r="E5" s="6" t="str">
        <f>_xlfn.XLOOKUP(D5,LISTS01!N:N,LISTS01!M:M,"")</f>
        <v>D02</v>
      </c>
      <c r="F5" s="6"/>
    </row>
    <row r="6" spans="1:6">
      <c r="A6" s="6" t="s">
        <v>55</v>
      </c>
      <c r="B6" s="6" t="s">
        <v>52</v>
      </c>
      <c r="C6" s="13" t="s">
        <v>271</v>
      </c>
      <c r="D6" s="6" t="s">
        <v>168</v>
      </c>
      <c r="E6" s="6" t="str">
        <f>_xlfn.XLOOKUP(D6,LISTS01!N:N,LISTS01!M:M,"")</f>
        <v>D02</v>
      </c>
      <c r="F6" s="6"/>
    </row>
    <row r="7" spans="1:6">
      <c r="A7" s="6" t="s">
        <v>56</v>
      </c>
      <c r="B7" s="6" t="s">
        <v>52</v>
      </c>
      <c r="C7" s="13" t="s">
        <v>272</v>
      </c>
      <c r="D7" s="6" t="s">
        <v>170</v>
      </c>
      <c r="E7" s="6" t="str">
        <f>_xlfn.XLOOKUP(D7,LISTS01!N:N,LISTS01!M:M,"")</f>
        <v>D03</v>
      </c>
      <c r="F7" s="6"/>
    </row>
    <row r="8" spans="1:6">
      <c r="A8" s="6" t="s">
        <v>57</v>
      </c>
      <c r="B8" s="6" t="s">
        <v>52</v>
      </c>
      <c r="C8" s="13" t="s">
        <v>273</v>
      </c>
      <c r="D8" s="6" t="s">
        <v>170</v>
      </c>
      <c r="E8" s="6" t="str">
        <f>_xlfn.XLOOKUP(D8,LISTS01!N:N,LISTS01!M:M,"")</f>
        <v>D03</v>
      </c>
      <c r="F8" s="6"/>
    </row>
    <row r="9" spans="1:6">
      <c r="A9" s="6" t="s">
        <v>58</v>
      </c>
      <c r="B9" s="6" t="s">
        <v>52</v>
      </c>
      <c r="C9" s="13" t="s">
        <v>274</v>
      </c>
      <c r="D9" s="6" t="s">
        <v>172</v>
      </c>
      <c r="E9" s="6" t="str">
        <f>_xlfn.XLOOKUP(D9,LISTS01!N:N,LISTS01!M:M,"")</f>
        <v>D04</v>
      </c>
      <c r="F9" s="6"/>
    </row>
    <row r="10" spans="1:6">
      <c r="A10" s="6" t="s">
        <v>59</v>
      </c>
      <c r="B10" s="6" t="s">
        <v>52</v>
      </c>
      <c r="C10" s="13" t="s">
        <v>275</v>
      </c>
      <c r="D10" s="6" t="s">
        <v>172</v>
      </c>
      <c r="E10" s="6" t="str">
        <f>_xlfn.XLOOKUP(D10,LISTS01!N:N,LISTS01!M:M,"")</f>
        <v>D04</v>
      </c>
      <c r="F10" s="6"/>
    </row>
    <row r="11" spans="1:6">
      <c r="A11" s="6" t="s">
        <v>60</v>
      </c>
      <c r="B11" s="6" t="s">
        <v>52</v>
      </c>
      <c r="C11" s="13" t="s">
        <v>276</v>
      </c>
      <c r="D11" s="6" t="s">
        <v>174</v>
      </c>
      <c r="E11" s="6" t="str">
        <f>_xlfn.XLOOKUP(D11,LISTS01!N:N,LISTS01!M:M,"")</f>
        <v>D05</v>
      </c>
      <c r="F11" s="6"/>
    </row>
    <row r="12" spans="1:6">
      <c r="A12" s="6" t="s">
        <v>61</v>
      </c>
      <c r="B12" s="6" t="s">
        <v>52</v>
      </c>
      <c r="C12" s="13" t="s">
        <v>277</v>
      </c>
      <c r="D12" s="6" t="s">
        <v>174</v>
      </c>
      <c r="E12" s="6" t="str">
        <f>_xlfn.XLOOKUP(D12,LISTS01!N:N,LISTS01!M:M,"")</f>
        <v>D05</v>
      </c>
      <c r="F12" s="6"/>
    </row>
    <row r="13" spans="1:6">
      <c r="A13" s="6"/>
      <c r="B13" s="6"/>
      <c r="C13" s="13"/>
      <c r="D13" s="6"/>
      <c r="E13" s="6" t="str">
        <f>_xlfn.XLOOKUP(D13,LISTS01!N:N,LISTS01!M:M,"")</f>
        <v>（Question Domains）</v>
      </c>
      <c r="F13" s="6"/>
    </row>
  </sheetData>
  <phoneticPr fontId="1"/>
  <pageMargins left="0.7" right="0.7" top="0.75" bottom="0.75" header="0.3" footer="0.3"/>
  <pageSetup paperSize="9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E54586-9982-4EED-BFE4-582BE4CEE5D7}">
          <x14:formula1>
            <xm:f>LISTS01!$N$3:$N$9</xm:f>
          </x14:formula1>
          <xm:sqref>D3:D13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2BDE-4CBF-40ED-B1F4-E576519DAA27}">
  <sheetPr>
    <pageSetUpPr fitToPage="1"/>
  </sheetPr>
  <dimension ref="A1:N43"/>
  <sheetViews>
    <sheetView tabSelected="1" workbookViewId="0">
      <selection activeCell="J4" sqref="J4"/>
    </sheetView>
  </sheetViews>
  <sheetFormatPr defaultRowHeight="18.75"/>
  <cols>
    <col min="1" max="1" width="17.25" customWidth="1"/>
    <col min="2" max="2" width="11.75" bestFit="1" customWidth="1"/>
    <col min="4" max="4" width="7.125" customWidth="1"/>
    <col min="5" max="5" width="40.125" customWidth="1"/>
    <col min="6" max="6" width="54" customWidth="1"/>
    <col min="7" max="7" width="20" customWidth="1"/>
    <col min="8" max="8" width="19.125" customWidth="1"/>
    <col min="9" max="9" width="15.125" customWidth="1"/>
    <col min="10" max="10" width="16.75" customWidth="1"/>
    <col min="11" max="11" width="16" bestFit="1" customWidth="1"/>
    <col min="12" max="12" width="21.625" bestFit="1" customWidth="1"/>
  </cols>
  <sheetData>
    <row r="1" spans="1:14">
      <c r="A1" s="10" t="s">
        <v>116</v>
      </c>
      <c r="B1" s="10"/>
    </row>
    <row r="2" spans="1:14">
      <c r="A2" t="s">
        <v>62</v>
      </c>
    </row>
    <row r="3" spans="1:14" s="3" customFormat="1" ht="37.5">
      <c r="A3" s="6" t="s">
        <v>119</v>
      </c>
      <c r="B3" s="6" t="s">
        <v>255</v>
      </c>
      <c r="C3" s="6" t="s">
        <v>63</v>
      </c>
      <c r="D3" s="6" t="s">
        <v>64</v>
      </c>
      <c r="E3" s="6" t="s">
        <v>66</v>
      </c>
      <c r="F3" s="6" t="s">
        <v>68</v>
      </c>
      <c r="G3" s="7" t="s">
        <v>70</v>
      </c>
      <c r="H3" s="7" t="s">
        <v>71</v>
      </c>
      <c r="I3" s="7" t="s">
        <v>69</v>
      </c>
      <c r="J3" s="7" t="s">
        <v>72</v>
      </c>
      <c r="K3" s="6" t="s">
        <v>73</v>
      </c>
      <c r="L3" s="6" t="s">
        <v>256</v>
      </c>
      <c r="M3" s="6" t="s">
        <v>257</v>
      </c>
    </row>
    <row r="4" spans="1:14">
      <c r="A4" s="9"/>
      <c r="B4" s="9" t="str">
        <f>_xlfn.XLOOKUP(A4, LISTS01!$B:$B, LISTS01!$A:$A, "")</f>
        <v>（Models）</v>
      </c>
      <c r="C4" s="9"/>
      <c r="D4" s="9"/>
      <c r="E4" s="9"/>
      <c r="F4" s="9"/>
      <c r="G4" s="9"/>
      <c r="H4" s="9"/>
      <c r="I4" s="9"/>
      <c r="J4" s="9"/>
      <c r="K4" s="9"/>
      <c r="L4" s="9" t="str">
        <f>_xlfn.XLOOKUP(K5, LISTS02!$B:$B, LISTS02!$A:$A, "")</f>
        <v>（Bankruptcy Types）</v>
      </c>
      <c r="M4" s="9"/>
      <c r="N4" t="s">
        <v>110</v>
      </c>
    </row>
    <row r="5" spans="1:14">
      <c r="A5" s="9"/>
      <c r="B5" s="9" t="str">
        <f>_xlfn.XLOOKUP(A5, LISTS01!$B:$B, LISTS01!$A:$A, "")</f>
        <v>（Models）</v>
      </c>
      <c r="C5" s="9"/>
      <c r="D5" s="9"/>
      <c r="E5" s="9"/>
      <c r="F5" s="9"/>
      <c r="G5" s="9"/>
      <c r="H5" s="9"/>
      <c r="I5" s="9"/>
      <c r="J5" s="9"/>
      <c r="K5" s="9"/>
      <c r="L5" s="9" t="str">
        <f>_xlfn.XLOOKUP(K5, LISTS02!$B:$B, LISTS02!$A:$A, "")</f>
        <v>（Bankruptcy Types）</v>
      </c>
      <c r="M5" s="9"/>
      <c r="N5" t="s">
        <v>111</v>
      </c>
    </row>
    <row r="6" spans="1:14">
      <c r="A6" s="9"/>
      <c r="B6" s="9" t="str">
        <f>_xlfn.XLOOKUP(A6, LISTS01!$B:$B, LISTS01!$A:$A, "")</f>
        <v>（Models）</v>
      </c>
      <c r="C6" s="9"/>
      <c r="D6" s="9"/>
      <c r="E6" s="9"/>
      <c r="F6" s="9"/>
      <c r="G6" s="9"/>
      <c r="H6" s="9"/>
      <c r="I6" s="9"/>
      <c r="J6" s="9"/>
      <c r="K6" s="9"/>
      <c r="L6" s="9" t="str">
        <f>_xlfn.XLOOKUP(K6, LISTS02!$B:$B, LISTS02!$A:$A, "")</f>
        <v>（Bankruptcy Types）</v>
      </c>
      <c r="M6" s="9"/>
    </row>
    <row r="7" spans="1:14">
      <c r="A7" s="9"/>
      <c r="B7" s="9" t="str">
        <f>_xlfn.XLOOKUP(A7, LISTS01!$B:$B, LISTS01!$A:$A, "")</f>
        <v>（Models）</v>
      </c>
      <c r="C7" s="9"/>
      <c r="D7" s="9"/>
      <c r="E7" s="9"/>
      <c r="F7" s="9"/>
      <c r="G7" s="9"/>
      <c r="H7" s="9"/>
      <c r="I7" s="9"/>
      <c r="J7" s="9"/>
      <c r="K7" s="9"/>
      <c r="L7" s="9" t="str">
        <f>_xlfn.XLOOKUP(K7, LISTS02!$B:$B, LISTS02!$A:$A, "")</f>
        <v>（Bankruptcy Types）</v>
      </c>
      <c r="M7" s="9"/>
    </row>
    <row r="8" spans="1:14">
      <c r="A8" s="9"/>
      <c r="B8" s="9" t="str">
        <f>_xlfn.XLOOKUP(A8, LISTS01!$B:$B, LISTS01!$A:$A, "")</f>
        <v>（Models）</v>
      </c>
      <c r="C8" s="9"/>
      <c r="D8" s="9"/>
      <c r="E8" s="9"/>
      <c r="F8" s="9"/>
      <c r="G8" s="9"/>
      <c r="H8" s="9"/>
      <c r="I8" s="9"/>
      <c r="J8" s="9"/>
      <c r="K8" s="9"/>
      <c r="L8" s="9" t="str">
        <f>_xlfn.XLOOKUP(K8, LISTS02!$B:$B, LISTS02!$A:$A, "")</f>
        <v>（Bankruptcy Types）</v>
      </c>
      <c r="M8" s="9"/>
    </row>
    <row r="9" spans="1:14">
      <c r="A9" s="9"/>
      <c r="B9" s="9" t="str">
        <f>_xlfn.XLOOKUP(A9, LISTS01!$B:$B, LISTS01!$A:$A, "")</f>
        <v>（Models）</v>
      </c>
      <c r="C9" s="9"/>
      <c r="D9" s="9"/>
      <c r="E9" s="9"/>
      <c r="F9" s="9"/>
      <c r="G9" s="9"/>
      <c r="H9" s="9"/>
      <c r="I9" s="9"/>
      <c r="J9" s="9"/>
      <c r="K9" s="9"/>
      <c r="L9" s="9" t="str">
        <f>_xlfn.XLOOKUP(K9, LISTS02!$B:$B, LISTS02!$A:$A, "")</f>
        <v>（Bankruptcy Types）</v>
      </c>
      <c r="M9" s="9"/>
    </row>
    <row r="10" spans="1:14">
      <c r="A10" s="9"/>
      <c r="B10" s="9" t="str">
        <f>_xlfn.XLOOKUP(A10, LISTS01!$B:$B, LISTS01!$A:$A, "")</f>
        <v>（Models）</v>
      </c>
      <c r="C10" s="9"/>
      <c r="D10" s="9"/>
      <c r="E10" s="9"/>
      <c r="F10" s="9"/>
      <c r="G10" s="9"/>
      <c r="H10" s="9"/>
      <c r="I10" s="9"/>
      <c r="J10" s="9"/>
      <c r="K10" s="9"/>
      <c r="L10" s="9" t="str">
        <f>_xlfn.XLOOKUP(K10, LISTS02!$B:$B, LISTS02!$A:$A, "")</f>
        <v>（Bankruptcy Types）</v>
      </c>
      <c r="M10" s="9"/>
    </row>
    <row r="11" spans="1:14">
      <c r="A11" s="9"/>
      <c r="B11" s="9" t="str">
        <f>_xlfn.XLOOKUP(A11, LISTS01!$B:$B, LISTS01!$A:$A, "")</f>
        <v>（Models）</v>
      </c>
      <c r="C11" s="9"/>
      <c r="D11" s="9"/>
      <c r="E11" s="9"/>
      <c r="F11" s="9"/>
      <c r="G11" s="9"/>
      <c r="H11" s="9"/>
      <c r="I11" s="9"/>
      <c r="J11" s="9"/>
      <c r="K11" s="9"/>
      <c r="L11" s="9" t="str">
        <f>_xlfn.XLOOKUP(K11, LISTS02!$B:$B, LISTS02!$A:$A, "")</f>
        <v>（Bankruptcy Types）</v>
      </c>
      <c r="M11" s="9"/>
    </row>
    <row r="12" spans="1:14">
      <c r="A12" s="9"/>
      <c r="B12" s="9" t="str">
        <f>_xlfn.XLOOKUP(A12, LISTS01!$B:$B, LISTS01!$A:$A, "")</f>
        <v>（Models）</v>
      </c>
      <c r="C12" s="9"/>
      <c r="D12" s="9"/>
      <c r="E12" s="9"/>
      <c r="F12" s="9"/>
      <c r="G12" s="9"/>
      <c r="H12" s="9"/>
      <c r="I12" s="9"/>
      <c r="J12" s="9"/>
      <c r="K12" s="9"/>
      <c r="L12" s="9" t="str">
        <f>_xlfn.XLOOKUP(K12, LISTS02!$B:$B, LISTS02!$A:$A, "")</f>
        <v>（Bankruptcy Types）</v>
      </c>
      <c r="M12" s="9"/>
    </row>
    <row r="13" spans="1:14">
      <c r="A13" s="9"/>
      <c r="B13" s="9" t="str">
        <f>_xlfn.XLOOKUP(A13, LISTS01!$B:$B, LISTS01!$A:$A, "")</f>
        <v>（Models）</v>
      </c>
      <c r="C13" s="9"/>
      <c r="D13" s="9"/>
      <c r="E13" s="9"/>
      <c r="F13" s="9"/>
      <c r="G13" s="9"/>
      <c r="H13" s="9"/>
      <c r="I13" s="9"/>
      <c r="J13" s="9"/>
      <c r="K13" s="9"/>
      <c r="L13" s="9" t="str">
        <f>_xlfn.XLOOKUP(K13, LISTS02!$B:$B, LISTS02!$A:$A, "")</f>
        <v>（Bankruptcy Types）</v>
      </c>
      <c r="M13" s="9"/>
    </row>
    <row r="14" spans="1:14">
      <c r="A14" s="9"/>
      <c r="B14" s="9" t="str">
        <f>_xlfn.XLOOKUP(A14, LISTS01!$B:$B, LISTS01!$A:$A, "")</f>
        <v>（Models）</v>
      </c>
      <c r="C14" s="9"/>
      <c r="D14" s="9"/>
      <c r="E14" s="9"/>
      <c r="F14" s="9"/>
      <c r="G14" s="9"/>
      <c r="H14" s="9"/>
      <c r="I14" s="9"/>
      <c r="J14" s="9"/>
      <c r="K14" s="9"/>
      <c r="L14" s="9" t="str">
        <f>_xlfn.XLOOKUP(K14, LISTS02!$B:$B, LISTS02!$A:$A, "")</f>
        <v>（Bankruptcy Types）</v>
      </c>
      <c r="M14" s="9"/>
    </row>
    <row r="15" spans="1:14">
      <c r="A15" s="9"/>
      <c r="B15" s="9" t="str">
        <f>_xlfn.XLOOKUP(A15, LISTS01!$B:$B, LISTS01!$A:$A, "")</f>
        <v>（Models）</v>
      </c>
      <c r="C15" s="9"/>
      <c r="D15" s="9"/>
      <c r="E15" s="9"/>
      <c r="F15" s="9"/>
      <c r="G15" s="9"/>
      <c r="H15" s="9"/>
      <c r="I15" s="9"/>
      <c r="J15" s="9"/>
      <c r="K15" s="9"/>
      <c r="L15" s="9" t="str">
        <f>_xlfn.XLOOKUP(K15, LISTS02!$B:$B, LISTS02!$A:$A, "")</f>
        <v>（Bankruptcy Types）</v>
      </c>
      <c r="M15" s="9"/>
    </row>
    <row r="16" spans="1:14">
      <c r="A16" s="9"/>
      <c r="B16" s="9" t="str">
        <f>_xlfn.XLOOKUP(A16, LISTS01!$B:$B, LISTS01!$A:$A, "")</f>
        <v>（Models）</v>
      </c>
      <c r="C16" s="9"/>
      <c r="D16" s="9"/>
      <c r="E16" s="9"/>
      <c r="F16" s="9"/>
      <c r="G16" s="9"/>
      <c r="H16" s="9"/>
      <c r="I16" s="9"/>
      <c r="J16" s="9"/>
      <c r="K16" s="9"/>
      <c r="L16" s="9" t="str">
        <f>_xlfn.XLOOKUP(K16, LISTS02!$B:$B, LISTS02!$A:$A, "")</f>
        <v>（Bankruptcy Types）</v>
      </c>
      <c r="M16" s="9"/>
    </row>
    <row r="17" spans="1:13">
      <c r="A17" s="9"/>
      <c r="B17" s="9" t="str">
        <f>_xlfn.XLOOKUP(A17, LISTS01!$B:$B, LISTS01!$A:$A, "")</f>
        <v>（Models）</v>
      </c>
      <c r="C17" s="9"/>
      <c r="D17" s="9"/>
      <c r="E17" s="9"/>
      <c r="F17" s="9"/>
      <c r="G17" s="9"/>
      <c r="H17" s="9"/>
      <c r="I17" s="9"/>
      <c r="J17" s="9"/>
      <c r="K17" s="9"/>
      <c r="L17" s="9" t="str">
        <f>_xlfn.XLOOKUP(K17, LISTS02!$B:$B, LISTS02!$A:$A, "")</f>
        <v>（Bankruptcy Types）</v>
      </c>
      <c r="M17" s="9"/>
    </row>
    <row r="18" spans="1:13">
      <c r="A18" s="9"/>
      <c r="B18" s="9" t="str">
        <f>_xlfn.XLOOKUP(A18, LISTS01!$B:$B, LISTS01!$A:$A, "")</f>
        <v>（Models）</v>
      </c>
      <c r="C18" s="9"/>
      <c r="D18" s="9"/>
      <c r="E18" s="9"/>
      <c r="F18" s="9"/>
      <c r="G18" s="9"/>
      <c r="H18" s="9"/>
      <c r="I18" s="9"/>
      <c r="J18" s="9"/>
      <c r="K18" s="9"/>
      <c r="L18" s="9" t="str">
        <f>_xlfn.XLOOKUP(K18, LISTS02!$B:$B, LISTS02!$A:$A, "")</f>
        <v>（Bankruptcy Types）</v>
      </c>
      <c r="M18" s="9"/>
    </row>
    <row r="19" spans="1:13">
      <c r="A19" s="9"/>
      <c r="B19" s="9" t="str">
        <f>_xlfn.XLOOKUP(A19, LISTS01!$B:$B, LISTS01!$A:$A, "")</f>
        <v>（Models）</v>
      </c>
      <c r="C19" s="9"/>
      <c r="D19" s="9"/>
      <c r="E19" s="9"/>
      <c r="F19" s="9"/>
      <c r="G19" s="9"/>
      <c r="H19" s="9"/>
      <c r="I19" s="9"/>
      <c r="J19" s="9"/>
      <c r="K19" s="9"/>
      <c r="L19" s="9" t="str">
        <f>_xlfn.XLOOKUP(K19, LISTS02!$B:$B, LISTS02!$A:$A, "")</f>
        <v>（Bankruptcy Types）</v>
      </c>
      <c r="M19" s="9"/>
    </row>
    <row r="20" spans="1:13">
      <c r="A20" s="9"/>
      <c r="B20" s="9" t="str">
        <f>_xlfn.XLOOKUP(A20, LISTS01!$B:$B, LISTS01!$A:$A, "")</f>
        <v>（Models）</v>
      </c>
      <c r="C20" s="9"/>
      <c r="D20" s="9"/>
      <c r="E20" s="9"/>
      <c r="F20" s="9"/>
      <c r="G20" s="9"/>
      <c r="H20" s="9"/>
      <c r="I20" s="9"/>
      <c r="J20" s="9"/>
      <c r="K20" s="9"/>
      <c r="L20" s="9" t="str">
        <f>_xlfn.XLOOKUP(K20, LISTS02!$B:$B, LISTS02!$A:$A, "")</f>
        <v>（Bankruptcy Types）</v>
      </c>
      <c r="M20" s="9"/>
    </row>
    <row r="21" spans="1:13">
      <c r="A21" s="9"/>
      <c r="B21" s="9" t="str">
        <f>_xlfn.XLOOKUP(A21, LISTS01!$B:$B, LISTS01!$A:$A, "")</f>
        <v>（Models）</v>
      </c>
      <c r="C21" s="9"/>
      <c r="D21" s="9"/>
      <c r="E21" s="9"/>
      <c r="F21" s="9"/>
      <c r="G21" s="9"/>
      <c r="H21" s="9"/>
      <c r="I21" s="9"/>
      <c r="J21" s="9"/>
      <c r="K21" s="9"/>
      <c r="L21" s="9" t="str">
        <f>_xlfn.XLOOKUP(K21, LISTS02!$B:$B, LISTS02!$A:$A, "")</f>
        <v>（Bankruptcy Types）</v>
      </c>
      <c r="M21" s="9"/>
    </row>
    <row r="22" spans="1:13">
      <c r="A22" s="9"/>
      <c r="B22" s="9" t="str">
        <f>_xlfn.XLOOKUP(A22, LISTS01!$B:$B, LISTS01!$A:$A, "")</f>
        <v>（Models）</v>
      </c>
      <c r="C22" s="9"/>
      <c r="D22" s="9"/>
      <c r="E22" s="9"/>
      <c r="F22" s="9"/>
      <c r="G22" s="9"/>
      <c r="H22" s="9"/>
      <c r="I22" s="9"/>
      <c r="J22" s="9"/>
      <c r="K22" s="9"/>
      <c r="L22" s="9" t="str">
        <f>_xlfn.XLOOKUP(K22, LISTS02!$B:$B, LISTS02!$A:$A, "")</f>
        <v>（Bankruptcy Types）</v>
      </c>
      <c r="M22" s="9"/>
    </row>
    <row r="23" spans="1:13">
      <c r="A23" s="9"/>
      <c r="B23" s="9" t="str">
        <f>_xlfn.XLOOKUP(A23, LISTS01!$B:$B, LISTS01!$A:$A, "")</f>
        <v>（Models）</v>
      </c>
      <c r="C23" s="9"/>
      <c r="D23" s="9"/>
      <c r="E23" s="9"/>
      <c r="F23" s="9"/>
      <c r="G23" s="9"/>
      <c r="H23" s="9"/>
      <c r="I23" s="9"/>
      <c r="J23" s="9"/>
      <c r="K23" s="9"/>
      <c r="L23" s="9" t="str">
        <f>_xlfn.XLOOKUP(K23, LISTS02!$B:$B, LISTS02!$A:$A, "")</f>
        <v>（Bankruptcy Types）</v>
      </c>
      <c r="M23" s="9"/>
    </row>
    <row r="24" spans="1:13">
      <c r="A24" s="9"/>
      <c r="B24" s="9" t="str">
        <f>_xlfn.XLOOKUP(A24, LISTS01!$B:$B, LISTS01!$A:$A, "")</f>
        <v>（Models）</v>
      </c>
      <c r="C24" s="9"/>
      <c r="D24" s="9"/>
      <c r="E24" s="9"/>
      <c r="F24" s="9"/>
      <c r="G24" s="9"/>
      <c r="H24" s="9"/>
      <c r="I24" s="9"/>
      <c r="J24" s="9"/>
      <c r="K24" s="9"/>
      <c r="L24" s="9" t="str">
        <f>_xlfn.XLOOKUP(K24, LISTS02!$B:$B, LISTS02!$A:$A, "")</f>
        <v>（Bankruptcy Types）</v>
      </c>
      <c r="M24" s="9"/>
    </row>
    <row r="25" spans="1:13">
      <c r="A25" s="9"/>
      <c r="B25" s="9" t="str">
        <f>_xlfn.XLOOKUP(A25, LISTS01!$B:$B, LISTS01!$A:$A, "")</f>
        <v>（Models）</v>
      </c>
      <c r="C25" s="9"/>
      <c r="D25" s="9"/>
      <c r="E25" s="9"/>
      <c r="F25" s="9"/>
      <c r="G25" s="9"/>
      <c r="H25" s="9"/>
      <c r="I25" s="9"/>
      <c r="J25" s="9"/>
      <c r="K25" s="9"/>
      <c r="L25" s="9" t="str">
        <f>_xlfn.XLOOKUP(K25, LISTS02!$B:$B, LISTS02!$A:$A, "")</f>
        <v>（Bankruptcy Types）</v>
      </c>
      <c r="M25" s="9"/>
    </row>
    <row r="26" spans="1:13">
      <c r="A26" s="9"/>
      <c r="B26" s="9" t="str">
        <f>_xlfn.XLOOKUP(A26, LISTS01!$B:$B, LISTS01!$A:$A, "")</f>
        <v>（Models）</v>
      </c>
      <c r="C26" s="9"/>
      <c r="D26" s="9"/>
      <c r="E26" s="9"/>
      <c r="F26" s="9"/>
      <c r="G26" s="9"/>
      <c r="H26" s="9"/>
      <c r="I26" s="9"/>
      <c r="J26" s="9"/>
      <c r="K26" s="9"/>
      <c r="L26" s="9" t="str">
        <f>_xlfn.XLOOKUP(K26, LISTS02!$B:$B, LISTS02!$A:$A, "")</f>
        <v>（Bankruptcy Types）</v>
      </c>
      <c r="M26" s="9"/>
    </row>
    <row r="27" spans="1:13">
      <c r="A27" s="9"/>
      <c r="B27" s="9" t="str">
        <f>_xlfn.XLOOKUP(A27, LISTS01!$B:$B, LISTS01!$A:$A, "")</f>
        <v>（Models）</v>
      </c>
      <c r="C27" s="9"/>
      <c r="D27" s="9"/>
      <c r="E27" s="9"/>
      <c r="F27" s="9"/>
      <c r="G27" s="9"/>
      <c r="H27" s="9"/>
      <c r="I27" s="9"/>
      <c r="J27" s="9"/>
      <c r="K27" s="9"/>
      <c r="L27" s="9" t="str">
        <f>_xlfn.XLOOKUP(K27, LISTS02!$B:$B, LISTS02!$A:$A, "")</f>
        <v>（Bankruptcy Types）</v>
      </c>
      <c r="M27" s="9"/>
    </row>
    <row r="28" spans="1:13">
      <c r="A28" s="9"/>
      <c r="B28" s="9" t="str">
        <f>_xlfn.XLOOKUP(A28, LISTS01!$B:$B, LISTS01!$A:$A, "")</f>
        <v>（Models）</v>
      </c>
      <c r="C28" s="9"/>
      <c r="D28" s="9"/>
      <c r="E28" s="9"/>
      <c r="F28" s="9"/>
      <c r="G28" s="9"/>
      <c r="H28" s="9"/>
      <c r="I28" s="9"/>
      <c r="J28" s="9"/>
      <c r="K28" s="9"/>
      <c r="L28" s="9" t="str">
        <f>_xlfn.XLOOKUP(K28, LISTS02!$B:$B, LISTS02!$A:$A, "")</f>
        <v>（Bankruptcy Types）</v>
      </c>
      <c r="M28" s="9"/>
    </row>
    <row r="29" spans="1:13">
      <c r="A29" s="9"/>
      <c r="B29" s="9" t="str">
        <f>_xlfn.XLOOKUP(A29, LISTS01!$B:$B, LISTS01!$A:$A, "")</f>
        <v>（Models）</v>
      </c>
      <c r="C29" s="9"/>
      <c r="D29" s="9"/>
      <c r="E29" s="9"/>
      <c r="F29" s="9"/>
      <c r="G29" s="9"/>
      <c r="H29" s="9"/>
      <c r="I29" s="9"/>
      <c r="J29" s="9"/>
      <c r="K29" s="9"/>
      <c r="L29" s="9" t="str">
        <f>_xlfn.XLOOKUP(K29, LISTS02!$B:$B, LISTS02!$A:$A, "")</f>
        <v>（Bankruptcy Types）</v>
      </c>
      <c r="M29" s="9"/>
    </row>
    <row r="30" spans="1:13">
      <c r="A30" s="9"/>
      <c r="B30" s="9" t="str">
        <f>_xlfn.XLOOKUP(A30, LISTS01!$B:$B, LISTS01!$A:$A, "")</f>
        <v>（Models）</v>
      </c>
      <c r="C30" s="9"/>
      <c r="D30" s="9"/>
      <c r="E30" s="9"/>
      <c r="F30" s="9"/>
      <c r="G30" s="9"/>
      <c r="H30" s="9"/>
      <c r="I30" s="9"/>
      <c r="J30" s="9"/>
      <c r="K30" s="9"/>
      <c r="L30" s="9" t="str">
        <f>_xlfn.XLOOKUP(K30, LISTS02!$B:$B, LISTS02!$A:$A, "")</f>
        <v>（Bankruptcy Types）</v>
      </c>
      <c r="M30" s="9"/>
    </row>
    <row r="31" spans="1:13">
      <c r="A31" s="9"/>
      <c r="B31" s="9" t="str">
        <f>_xlfn.XLOOKUP(A31, LISTS01!$B:$B, LISTS01!$A:$A, "")</f>
        <v>（Models）</v>
      </c>
      <c r="C31" s="9"/>
      <c r="D31" s="9"/>
      <c r="E31" s="9"/>
      <c r="F31" s="9"/>
      <c r="G31" s="9"/>
      <c r="H31" s="9"/>
      <c r="I31" s="9"/>
      <c r="J31" s="9"/>
      <c r="K31" s="9"/>
      <c r="L31" s="9" t="str">
        <f>_xlfn.XLOOKUP(K31, LISTS02!$B:$B, LISTS02!$A:$A, "")</f>
        <v>（Bankruptcy Types）</v>
      </c>
      <c r="M31" s="9"/>
    </row>
    <row r="32" spans="1:13">
      <c r="A32" s="9"/>
      <c r="B32" s="9" t="str">
        <f>_xlfn.XLOOKUP(A32, LISTS01!$B:$B, LISTS01!$A:$A, "")</f>
        <v>（Models）</v>
      </c>
      <c r="C32" s="9"/>
      <c r="D32" s="9"/>
      <c r="E32" s="9"/>
      <c r="F32" s="9"/>
      <c r="G32" s="9"/>
      <c r="H32" s="9"/>
      <c r="I32" s="9"/>
      <c r="J32" s="9"/>
      <c r="K32" s="9"/>
      <c r="L32" s="9" t="str">
        <f>_xlfn.XLOOKUP(K32, LISTS02!$B:$B, LISTS02!$A:$A, "")</f>
        <v>（Bankruptcy Types）</v>
      </c>
      <c r="M32" s="9"/>
    </row>
    <row r="33" spans="1:13">
      <c r="A33" s="9"/>
      <c r="B33" s="9" t="str">
        <f>_xlfn.XLOOKUP(A33, LISTS01!$B:$B, LISTS01!$A:$A, "")</f>
        <v>（Models）</v>
      </c>
      <c r="C33" s="9"/>
      <c r="D33" s="9"/>
      <c r="E33" s="9"/>
      <c r="F33" s="9"/>
      <c r="G33" s="9"/>
      <c r="H33" s="9"/>
      <c r="I33" s="9"/>
      <c r="J33" s="9"/>
      <c r="K33" s="9"/>
      <c r="L33" s="9" t="str">
        <f>_xlfn.XLOOKUP(K33, LISTS02!$B:$B, LISTS02!$A:$A, "")</f>
        <v>（Bankruptcy Types）</v>
      </c>
      <c r="M33" s="9"/>
    </row>
    <row r="34" spans="1:13">
      <c r="A34" s="9"/>
      <c r="B34" s="9" t="str">
        <f>_xlfn.XLOOKUP(A34, LISTS01!$B:$B, LISTS01!$A:$A, "")</f>
        <v>（Models）</v>
      </c>
      <c r="C34" s="9"/>
      <c r="D34" s="9"/>
      <c r="E34" s="9"/>
      <c r="F34" s="9"/>
      <c r="G34" s="9"/>
      <c r="H34" s="9"/>
      <c r="I34" s="9"/>
      <c r="J34" s="9"/>
      <c r="K34" s="9"/>
      <c r="L34" s="9" t="str">
        <f>_xlfn.XLOOKUP(K34, LISTS02!$B:$B, LISTS02!$A:$A, "")</f>
        <v>（Bankruptcy Types）</v>
      </c>
      <c r="M34" s="9"/>
    </row>
    <row r="35" spans="1:13">
      <c r="A35" s="9"/>
      <c r="B35" s="9" t="str">
        <f>_xlfn.XLOOKUP(A35, LISTS01!$B:$B, LISTS01!$A:$A, "")</f>
        <v>（Models）</v>
      </c>
      <c r="C35" s="9"/>
      <c r="D35" s="9"/>
      <c r="E35" s="9"/>
      <c r="F35" s="9"/>
      <c r="G35" s="9"/>
      <c r="H35" s="9"/>
      <c r="I35" s="9"/>
      <c r="J35" s="9"/>
      <c r="K35" s="9"/>
      <c r="L35" s="9" t="str">
        <f>_xlfn.XLOOKUP(K35, LISTS02!$B:$B, LISTS02!$A:$A, "")</f>
        <v>（Bankruptcy Types）</v>
      </c>
      <c r="M35" s="9"/>
    </row>
    <row r="36" spans="1:13">
      <c r="A36" s="9"/>
      <c r="B36" s="9" t="str">
        <f>_xlfn.XLOOKUP(A36, LISTS01!$B:$B, LISTS01!$A:$A, "")</f>
        <v>（Models）</v>
      </c>
      <c r="C36" s="9"/>
      <c r="D36" s="9"/>
      <c r="E36" s="9"/>
      <c r="F36" s="9"/>
      <c r="G36" s="9"/>
      <c r="H36" s="9"/>
      <c r="I36" s="9"/>
      <c r="J36" s="9"/>
      <c r="K36" s="9"/>
      <c r="L36" s="9" t="str">
        <f>_xlfn.XLOOKUP(K36, LISTS02!$B:$B, LISTS02!$A:$A, "")</f>
        <v>（Bankruptcy Types）</v>
      </c>
      <c r="M36" s="9"/>
    </row>
    <row r="37" spans="1:13">
      <c r="A37" s="9"/>
      <c r="B37" s="9" t="str">
        <f>_xlfn.XLOOKUP(A37, LISTS01!$B:$B, LISTS01!$A:$A, "")</f>
        <v>（Models）</v>
      </c>
      <c r="C37" s="9"/>
      <c r="D37" s="9"/>
      <c r="E37" s="9"/>
      <c r="F37" s="9"/>
      <c r="G37" s="9"/>
      <c r="H37" s="9"/>
      <c r="I37" s="9"/>
      <c r="J37" s="9"/>
      <c r="K37" s="9"/>
      <c r="L37" s="9" t="str">
        <f>_xlfn.XLOOKUP(K37, LISTS02!$B:$B, LISTS02!$A:$A, "")</f>
        <v>（Bankruptcy Types）</v>
      </c>
      <c r="M37" s="9"/>
    </row>
    <row r="38" spans="1:13">
      <c r="A38" s="9"/>
      <c r="B38" s="9" t="str">
        <f>_xlfn.XLOOKUP(A38, LISTS01!$B:$B, LISTS01!$A:$A, "")</f>
        <v>（Models）</v>
      </c>
      <c r="C38" s="9"/>
      <c r="D38" s="9"/>
      <c r="E38" s="9"/>
      <c r="F38" s="9"/>
      <c r="G38" s="9"/>
      <c r="H38" s="9"/>
      <c r="I38" s="9"/>
      <c r="J38" s="9"/>
      <c r="K38" s="9"/>
      <c r="L38" s="9" t="str">
        <f>_xlfn.XLOOKUP(K38, LISTS02!$B:$B, LISTS02!$A:$A, "")</f>
        <v>（Bankruptcy Types）</v>
      </c>
      <c r="M38" s="9"/>
    </row>
    <row r="39" spans="1:13">
      <c r="A39" s="9"/>
      <c r="B39" s="9" t="str">
        <f>_xlfn.XLOOKUP(A39, LISTS01!$B:$B, LISTS01!$A:$A, "")</f>
        <v>（Models）</v>
      </c>
      <c r="C39" s="9"/>
      <c r="D39" s="9"/>
      <c r="E39" s="9"/>
      <c r="F39" s="9"/>
      <c r="G39" s="9"/>
      <c r="H39" s="9"/>
      <c r="I39" s="9"/>
      <c r="J39" s="9"/>
      <c r="K39" s="9"/>
      <c r="L39" s="9" t="str">
        <f>_xlfn.XLOOKUP(K39, LISTS02!$B:$B, LISTS02!$A:$A, "")</f>
        <v>（Bankruptcy Types）</v>
      </c>
      <c r="M39" s="9"/>
    </row>
    <row r="40" spans="1:13">
      <c r="A40" s="9"/>
      <c r="B40" s="9" t="str">
        <f>_xlfn.XLOOKUP(A40, LISTS01!$B:$B, LISTS01!$A:$A, "")</f>
        <v>（Models）</v>
      </c>
      <c r="C40" s="9"/>
      <c r="D40" s="9"/>
      <c r="E40" s="9"/>
      <c r="F40" s="9"/>
      <c r="G40" s="9"/>
      <c r="H40" s="9"/>
      <c r="I40" s="9"/>
      <c r="J40" s="9"/>
      <c r="K40" s="9"/>
      <c r="L40" s="9" t="str">
        <f>_xlfn.XLOOKUP(K40, LISTS02!$B:$B, LISTS02!$A:$A, "")</f>
        <v>（Bankruptcy Types）</v>
      </c>
      <c r="M40" s="9"/>
    </row>
    <row r="41" spans="1:13">
      <c r="A41" s="9"/>
      <c r="B41" s="9" t="str">
        <f>_xlfn.XLOOKUP(A41, LISTS01!$B:$B, LISTS01!$A:$A, "")</f>
        <v>（Models）</v>
      </c>
      <c r="C41" s="9"/>
      <c r="D41" s="9"/>
      <c r="E41" s="9"/>
      <c r="F41" s="9"/>
      <c r="G41" s="9"/>
      <c r="H41" s="9"/>
      <c r="I41" s="9"/>
      <c r="J41" s="9"/>
      <c r="K41" s="9"/>
      <c r="L41" s="9" t="str">
        <f>_xlfn.XLOOKUP(K41, LISTS02!$B:$B, LISTS02!$A:$A, "")</f>
        <v>（Bankruptcy Types）</v>
      </c>
      <c r="M41" s="9"/>
    </row>
    <row r="42" spans="1:13">
      <c r="A42" s="9"/>
      <c r="B42" s="9" t="str">
        <f>_xlfn.XLOOKUP(A42, LISTS01!$B:$B, LISTS01!$A:$A, "")</f>
        <v>（Models）</v>
      </c>
      <c r="C42" s="9"/>
      <c r="D42" s="9"/>
      <c r="E42" s="9"/>
      <c r="F42" s="9"/>
      <c r="G42" s="9"/>
      <c r="H42" s="9"/>
      <c r="I42" s="9"/>
      <c r="J42" s="9"/>
      <c r="K42" s="9"/>
      <c r="L42" s="9" t="str">
        <f>_xlfn.XLOOKUP(K42, LISTS02!$B:$B, LISTS02!$A:$A, "")</f>
        <v>（Bankruptcy Types）</v>
      </c>
      <c r="M42" s="9"/>
    </row>
    <row r="43" spans="1:13">
      <c r="A43" s="9"/>
      <c r="B43" s="9" t="str">
        <f>_xlfn.XLOOKUP(A43, LISTS01!$B:$B, LISTS01!$A:$A, "")</f>
        <v>（Models）</v>
      </c>
      <c r="C43" s="9"/>
      <c r="D43" s="9"/>
      <c r="E43" s="9"/>
      <c r="F43" s="9"/>
      <c r="G43" s="9"/>
      <c r="H43" s="9"/>
      <c r="I43" s="9"/>
      <c r="J43" s="9"/>
      <c r="K43" s="9"/>
      <c r="L43" s="9" t="str">
        <f>_xlfn.XLOOKUP(K43, LISTS02!$B:$B, LISTS02!$A:$A, "")</f>
        <v>（Bankruptcy Types）</v>
      </c>
      <c r="M43" s="9"/>
    </row>
  </sheetData>
  <phoneticPr fontId="1"/>
  <dataValidations count="1">
    <dataValidation type="list" allowBlank="1" showInputMessage="1" showErrorMessage="1" sqref="G4:J43" xr:uid="{5ED80FFA-951B-4F44-AFDE-C1EA307041A5}">
      <formula1>$N$4:$N$5</formula1>
    </dataValidation>
  </dataValidations>
  <pageMargins left="0.7" right="0.7" top="0.75" bottom="0.75" header="0.3" footer="0.3"/>
  <pageSetup paperSize="9" scale="45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845626-7CB0-4BBC-A302-356C1E3B5FAA}">
          <x14:formula1>
            <xm:f>LISTS01!$B$3:$B$7</xm:f>
          </x14:formula1>
          <xm:sqref>A4:A43</xm:sqref>
        </x14:dataValidation>
        <x14:dataValidation type="list" allowBlank="1" showInputMessage="1" showErrorMessage="1" xr:uid="{DA60B2B5-EFBD-4555-AE15-75D761B413ED}">
          <x14:formula1>
            <xm:f>LISTS02!$B$3:$B$8</xm:f>
          </x14:formula1>
          <xm:sqref>K4:K43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5069-0D47-47F2-9BA8-C2E4CBF870AF}">
  <sheetPr>
    <pageSetUpPr fitToPage="1"/>
  </sheetPr>
  <dimension ref="A1:C8"/>
  <sheetViews>
    <sheetView workbookViewId="0"/>
  </sheetViews>
  <sheetFormatPr defaultRowHeight="18.75"/>
  <cols>
    <col min="1" max="1" width="25.5" customWidth="1"/>
    <col min="2" max="2" width="41.375" bestFit="1" customWidth="1"/>
    <col min="3" max="3" width="25.5" bestFit="1" customWidth="1"/>
  </cols>
  <sheetData>
    <row r="1" spans="1:3">
      <c r="A1" s="10" t="s">
        <v>117</v>
      </c>
    </row>
    <row r="2" spans="1:3">
      <c r="A2" s="9" t="s">
        <v>103</v>
      </c>
      <c r="B2" s="9" t="s">
        <v>75</v>
      </c>
      <c r="C2" s="9" t="s">
        <v>76</v>
      </c>
    </row>
    <row r="3" spans="1:3">
      <c r="A3" s="9" t="s">
        <v>104</v>
      </c>
      <c r="B3" s="9" t="s">
        <v>84</v>
      </c>
      <c r="C3" s="9" t="s">
        <v>77</v>
      </c>
    </row>
    <row r="4" spans="1:3">
      <c r="A4" s="9" t="s">
        <v>105</v>
      </c>
      <c r="B4" s="9" t="s">
        <v>86</v>
      </c>
      <c r="C4" s="9" t="s">
        <v>78</v>
      </c>
    </row>
    <row r="5" spans="1:3">
      <c r="A5" s="9" t="s">
        <v>106</v>
      </c>
      <c r="B5" s="9" t="s">
        <v>88</v>
      </c>
      <c r="C5" s="9" t="s">
        <v>79</v>
      </c>
    </row>
    <row r="6" spans="1:3">
      <c r="A6" s="9" t="s">
        <v>107</v>
      </c>
      <c r="B6" s="9" t="s">
        <v>90</v>
      </c>
      <c r="C6" s="9" t="s">
        <v>80</v>
      </c>
    </row>
    <row r="7" spans="1:3">
      <c r="A7" s="9" t="s">
        <v>108</v>
      </c>
      <c r="B7" s="9" t="s">
        <v>92</v>
      </c>
      <c r="C7" s="9" t="s">
        <v>81</v>
      </c>
    </row>
    <row r="8" spans="1:3">
      <c r="A8" s="9" t="s">
        <v>109</v>
      </c>
      <c r="B8" s="9" t="s">
        <v>94</v>
      </c>
      <c r="C8" s="9" t="s">
        <v>82</v>
      </c>
    </row>
  </sheetData>
  <phoneticPr fontId="1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49E1-CD82-4F21-ABD0-AC706CD6DDEB}">
  <sheetPr>
    <pageSetUpPr fitToPage="1"/>
  </sheetPr>
  <dimension ref="A1:C18"/>
  <sheetViews>
    <sheetView workbookViewId="0">
      <selection sqref="A1:XFD1"/>
    </sheetView>
  </sheetViews>
  <sheetFormatPr defaultRowHeight="18.75"/>
  <cols>
    <col min="2" max="2" width="31" customWidth="1"/>
    <col min="3" max="3" width="54.25" customWidth="1"/>
  </cols>
  <sheetData>
    <row r="1" spans="1:3">
      <c r="A1" s="9" t="s">
        <v>35</v>
      </c>
      <c r="B1" s="9" t="s">
        <v>95</v>
      </c>
      <c r="C1" s="9" t="s">
        <v>96</v>
      </c>
    </row>
    <row r="2" spans="1:3">
      <c r="A2" s="9" t="s">
        <v>97</v>
      </c>
      <c r="B2" s="9" t="s">
        <v>98</v>
      </c>
      <c r="C2" s="9" t="s">
        <v>99</v>
      </c>
    </row>
    <row r="3" spans="1:3">
      <c r="A3" s="9" t="s">
        <v>100</v>
      </c>
      <c r="B3" s="9" t="s">
        <v>101</v>
      </c>
      <c r="C3" s="9" t="s">
        <v>102</v>
      </c>
    </row>
    <row r="4" spans="1:3">
      <c r="A4" s="9"/>
      <c r="B4" s="9"/>
      <c r="C4" s="9"/>
    </row>
    <row r="5" spans="1:3">
      <c r="A5" s="9"/>
      <c r="B5" s="9"/>
      <c r="C5" s="9"/>
    </row>
    <row r="6" spans="1:3">
      <c r="A6" s="9"/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3" spans="1:3">
      <c r="A13" s="9"/>
      <c r="B13" s="9"/>
      <c r="C13" s="9"/>
    </row>
    <row r="14" spans="1:3">
      <c r="A14" s="9"/>
      <c r="B14" s="9"/>
      <c r="C14" s="9"/>
    </row>
    <row r="15" spans="1:3">
      <c r="A15" s="9"/>
      <c r="B15" s="9"/>
      <c r="C15" s="9"/>
    </row>
    <row r="16" spans="1:3">
      <c r="A16" s="9"/>
      <c r="B16" s="9"/>
      <c r="C16" s="9"/>
    </row>
    <row r="17" spans="1:3">
      <c r="A17" s="9"/>
      <c r="B17" s="9"/>
      <c r="C17" s="9"/>
    </row>
    <row r="18" spans="1:3">
      <c r="A18" s="9"/>
      <c r="B18" s="9"/>
      <c r="C18" s="9"/>
    </row>
  </sheetData>
  <phoneticPr fontId="1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94A1-BC70-4F14-B815-9E0E46895E89}">
  <sheetPr>
    <pageSetUpPr fitToPage="1"/>
  </sheetPr>
  <dimension ref="A1:U18"/>
  <sheetViews>
    <sheetView workbookViewId="0">
      <selection activeCell="G10" sqref="G10"/>
    </sheetView>
  </sheetViews>
  <sheetFormatPr defaultRowHeight="18.75"/>
  <cols>
    <col min="1" max="1" width="9.25" bestFit="1" customWidth="1"/>
    <col min="2" max="2" width="13.125" bestFit="1" customWidth="1"/>
    <col min="3" max="3" width="8.5" bestFit="1" customWidth="1"/>
    <col min="4" max="4" width="12.25" bestFit="1" customWidth="1"/>
    <col min="5" max="5" width="13.125" bestFit="1" customWidth="1"/>
    <col min="6" max="6" width="14.875" bestFit="1" customWidth="1"/>
    <col min="8" max="8" width="13.625" bestFit="1" customWidth="1"/>
    <col min="9" max="9" width="14.375" bestFit="1" customWidth="1"/>
    <col min="13" max="13" width="13.25" customWidth="1"/>
    <col min="14" max="14" width="14" bestFit="1" customWidth="1"/>
    <col min="15" max="15" width="25" bestFit="1" customWidth="1"/>
    <col min="16" max="16" width="6.5" bestFit="1" customWidth="1"/>
    <col min="18" max="18" width="14" customWidth="1"/>
    <col min="19" max="19" width="20.25" bestFit="1" customWidth="1"/>
    <col min="20" max="20" width="35" bestFit="1" customWidth="1"/>
    <col min="21" max="21" width="8" bestFit="1" customWidth="1"/>
  </cols>
  <sheetData>
    <row r="1" spans="1:21">
      <c r="A1" t="s">
        <v>143</v>
      </c>
      <c r="H1" t="s">
        <v>144</v>
      </c>
      <c r="M1" t="s">
        <v>156</v>
      </c>
      <c r="R1" t="s">
        <v>184</v>
      </c>
    </row>
    <row r="2" spans="1:21">
      <c r="A2" t="s">
        <v>118</v>
      </c>
      <c r="B2" t="s">
        <v>119</v>
      </c>
      <c r="C2" t="s">
        <v>36</v>
      </c>
      <c r="D2" t="s">
        <v>125</v>
      </c>
      <c r="E2" t="s">
        <v>126</v>
      </c>
      <c r="F2" t="s">
        <v>34</v>
      </c>
      <c r="H2" t="s">
        <v>145</v>
      </c>
      <c r="I2" t="s">
        <v>146</v>
      </c>
      <c r="J2" t="s">
        <v>147</v>
      </c>
      <c r="K2" t="s">
        <v>33</v>
      </c>
      <c r="M2" t="s">
        <v>157</v>
      </c>
      <c r="N2" t="s">
        <v>158</v>
      </c>
      <c r="O2" t="s">
        <v>1</v>
      </c>
      <c r="P2" t="s">
        <v>33</v>
      </c>
      <c r="R2" t="s">
        <v>185</v>
      </c>
      <c r="S2" t="s">
        <v>191</v>
      </c>
      <c r="T2" t="s">
        <v>1</v>
      </c>
      <c r="U2" t="s">
        <v>192</v>
      </c>
    </row>
    <row r="3" spans="1:21">
      <c r="A3" t="s">
        <v>120</v>
      </c>
      <c r="B3" t="s">
        <v>124</v>
      </c>
      <c r="C3" t="s">
        <v>127</v>
      </c>
      <c r="D3" t="s">
        <v>128</v>
      </c>
      <c r="E3" t="s">
        <v>129</v>
      </c>
      <c r="F3" t="s">
        <v>130</v>
      </c>
      <c r="H3" t="s">
        <v>148</v>
      </c>
      <c r="I3" t="s">
        <v>127</v>
      </c>
      <c r="J3" t="s">
        <v>155</v>
      </c>
      <c r="M3" t="s">
        <v>159</v>
      </c>
      <c r="N3" t="s">
        <v>167</v>
      </c>
      <c r="O3" t="s">
        <v>177</v>
      </c>
      <c r="R3" t="s">
        <v>186</v>
      </c>
      <c r="S3" t="s">
        <v>193</v>
      </c>
      <c r="T3" t="s">
        <v>198</v>
      </c>
      <c r="U3" t="s">
        <v>203</v>
      </c>
    </row>
    <row r="4" spans="1:21">
      <c r="A4" t="s">
        <v>121</v>
      </c>
      <c r="B4" t="s">
        <v>131</v>
      </c>
      <c r="C4" t="s">
        <v>127</v>
      </c>
      <c r="D4" t="s">
        <v>128</v>
      </c>
      <c r="E4" t="s">
        <v>129</v>
      </c>
      <c r="F4" t="s">
        <v>139</v>
      </c>
      <c r="H4" t="s">
        <v>149</v>
      </c>
      <c r="I4" t="s">
        <v>136</v>
      </c>
      <c r="J4" t="s">
        <v>155</v>
      </c>
      <c r="M4" t="s">
        <v>160</v>
      </c>
      <c r="N4" t="s">
        <v>169</v>
      </c>
      <c r="O4" t="s">
        <v>178</v>
      </c>
      <c r="R4" t="s">
        <v>187</v>
      </c>
      <c r="S4" t="s">
        <v>194</v>
      </c>
      <c r="T4" t="s">
        <v>199</v>
      </c>
      <c r="U4" t="s">
        <v>203</v>
      </c>
    </row>
    <row r="5" spans="1:21">
      <c r="A5" t="s">
        <v>122</v>
      </c>
      <c r="B5" t="s">
        <v>132</v>
      </c>
      <c r="C5" t="s">
        <v>135</v>
      </c>
      <c r="D5" t="s">
        <v>128</v>
      </c>
      <c r="E5" t="s">
        <v>138</v>
      </c>
      <c r="F5" t="s">
        <v>140</v>
      </c>
      <c r="H5" t="s">
        <v>150</v>
      </c>
      <c r="I5" t="s">
        <v>135</v>
      </c>
      <c r="J5" t="s">
        <v>155</v>
      </c>
      <c r="M5" t="s">
        <v>161</v>
      </c>
      <c r="N5" t="s">
        <v>171</v>
      </c>
      <c r="O5" t="s">
        <v>179</v>
      </c>
      <c r="R5" t="s">
        <v>188</v>
      </c>
      <c r="S5" t="s">
        <v>195</v>
      </c>
      <c r="T5" t="s">
        <v>200</v>
      </c>
      <c r="U5" t="s">
        <v>203</v>
      </c>
    </row>
    <row r="6" spans="1:21">
      <c r="A6" t="s">
        <v>123</v>
      </c>
      <c r="B6" t="s">
        <v>133</v>
      </c>
      <c r="C6" t="s">
        <v>136</v>
      </c>
      <c r="D6" t="s">
        <v>128</v>
      </c>
      <c r="E6" t="s">
        <v>138</v>
      </c>
      <c r="F6" t="s">
        <v>141</v>
      </c>
      <c r="H6" t="s">
        <v>151</v>
      </c>
      <c r="I6" t="s">
        <v>154</v>
      </c>
      <c r="J6" t="s">
        <v>155</v>
      </c>
      <c r="M6" t="s">
        <v>162</v>
      </c>
      <c r="N6" t="s">
        <v>173</v>
      </c>
      <c r="O6" t="s">
        <v>180</v>
      </c>
      <c r="R6" t="s">
        <v>189</v>
      </c>
      <c r="S6" t="s">
        <v>196</v>
      </c>
      <c r="T6" t="s">
        <v>201</v>
      </c>
      <c r="U6" t="s">
        <v>203</v>
      </c>
    </row>
    <row r="7" spans="1:21">
      <c r="A7" t="s">
        <v>152</v>
      </c>
      <c r="B7" t="s">
        <v>134</v>
      </c>
      <c r="C7" t="s">
        <v>137</v>
      </c>
      <c r="D7" t="s">
        <v>128</v>
      </c>
      <c r="E7" t="s">
        <v>137</v>
      </c>
      <c r="F7" t="s">
        <v>142</v>
      </c>
      <c r="H7" t="s">
        <v>153</v>
      </c>
      <c r="I7" t="s">
        <v>137</v>
      </c>
      <c r="M7" t="s">
        <v>163</v>
      </c>
      <c r="N7" t="s">
        <v>175</v>
      </c>
      <c r="O7" t="s">
        <v>181</v>
      </c>
      <c r="R7" t="s">
        <v>190</v>
      </c>
      <c r="S7" t="s">
        <v>197</v>
      </c>
      <c r="T7" t="s">
        <v>202</v>
      </c>
    </row>
    <row r="8" spans="1:21">
      <c r="M8" t="s">
        <v>164</v>
      </c>
      <c r="N8" t="s">
        <v>176</v>
      </c>
      <c r="O8" t="s">
        <v>182</v>
      </c>
    </row>
    <row r="9" spans="1:21">
      <c r="M9" t="s">
        <v>165</v>
      </c>
      <c r="N9" t="s">
        <v>137</v>
      </c>
      <c r="O9" t="s">
        <v>183</v>
      </c>
    </row>
    <row r="11" spans="1:21">
      <c r="M11" t="s">
        <v>232</v>
      </c>
      <c r="R11" t="s">
        <v>226</v>
      </c>
    </row>
    <row r="12" spans="1:21">
      <c r="M12" t="s">
        <v>233</v>
      </c>
      <c r="R12" t="s">
        <v>227</v>
      </c>
    </row>
    <row r="13" spans="1:21">
      <c r="M13" t="s">
        <v>234</v>
      </c>
      <c r="R13" t="s">
        <v>228</v>
      </c>
    </row>
    <row r="14" spans="1:21">
      <c r="M14" t="s">
        <v>235</v>
      </c>
      <c r="R14" t="s">
        <v>229</v>
      </c>
    </row>
    <row r="15" spans="1:21">
      <c r="M15" t="s">
        <v>236</v>
      </c>
      <c r="R15" t="s">
        <v>230</v>
      </c>
    </row>
    <row r="16" spans="1:21">
      <c r="M16" t="s">
        <v>237</v>
      </c>
      <c r="R16" t="s">
        <v>231</v>
      </c>
    </row>
    <row r="17" spans="13:13">
      <c r="M17" t="s">
        <v>238</v>
      </c>
    </row>
    <row r="18" spans="13:13">
      <c r="M18" t="s">
        <v>239</v>
      </c>
    </row>
  </sheetData>
  <phoneticPr fontId="1"/>
  <pageMargins left="0.7" right="0.7" top="0.75" bottom="0.75" header="0.3" footer="0.3"/>
  <pageSetup paperSize="8"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ED4A-A765-45E5-806B-30E254C706D6}">
  <sheetPr>
    <pageSetUpPr fitToPage="1"/>
  </sheetPr>
  <dimension ref="A1:N8"/>
  <sheetViews>
    <sheetView workbookViewId="0">
      <selection activeCell="B3" sqref="B3"/>
    </sheetView>
  </sheetViews>
  <sheetFormatPr defaultRowHeight="18.75"/>
  <cols>
    <col min="1" max="1" width="10.5" customWidth="1"/>
    <col min="2" max="2" width="13.75" bestFit="1" customWidth="1"/>
    <col min="3" max="3" width="11" bestFit="1" customWidth="1"/>
    <col min="6" max="6" width="18.375" bestFit="1" customWidth="1"/>
    <col min="7" max="7" width="11" bestFit="1" customWidth="1"/>
  </cols>
  <sheetData>
    <row r="1" spans="1:14">
      <c r="A1" t="s">
        <v>204</v>
      </c>
      <c r="F1" t="s">
        <v>240</v>
      </c>
    </row>
    <row r="2" spans="1:14">
      <c r="A2" t="s">
        <v>205</v>
      </c>
      <c r="B2" t="s">
        <v>74</v>
      </c>
      <c r="C2" t="s">
        <v>212</v>
      </c>
      <c r="D2" t="s">
        <v>34</v>
      </c>
      <c r="F2" t="s">
        <v>24</v>
      </c>
      <c r="G2" t="s">
        <v>17</v>
      </c>
      <c r="I2" s="10" t="s">
        <v>219</v>
      </c>
      <c r="N2" t="s">
        <v>249</v>
      </c>
    </row>
    <row r="3" spans="1:14">
      <c r="A3" t="s">
        <v>206</v>
      </c>
      <c r="B3" t="s">
        <v>83</v>
      </c>
      <c r="C3" t="s">
        <v>213</v>
      </c>
      <c r="F3" t="s">
        <v>241</v>
      </c>
      <c r="G3" t="s">
        <v>245</v>
      </c>
      <c r="I3" s="10" t="s">
        <v>220</v>
      </c>
      <c r="N3" t="s">
        <v>250</v>
      </c>
    </row>
    <row r="4" spans="1:14">
      <c r="A4" t="s">
        <v>207</v>
      </c>
      <c r="B4" t="s">
        <v>85</v>
      </c>
      <c r="C4" t="s">
        <v>214</v>
      </c>
      <c r="F4" t="s">
        <v>242</v>
      </c>
      <c r="G4" t="s">
        <v>246</v>
      </c>
      <c r="I4" s="10" t="s">
        <v>221</v>
      </c>
      <c r="N4" t="s">
        <v>251</v>
      </c>
    </row>
    <row r="5" spans="1:14">
      <c r="A5" t="s">
        <v>208</v>
      </c>
      <c r="B5" t="s">
        <v>87</v>
      </c>
      <c r="C5" t="s">
        <v>215</v>
      </c>
      <c r="F5" t="s">
        <v>243</v>
      </c>
      <c r="G5" t="s">
        <v>247</v>
      </c>
      <c r="I5" s="10" t="s">
        <v>222</v>
      </c>
      <c r="N5" t="s">
        <v>252</v>
      </c>
    </row>
    <row r="6" spans="1:14">
      <c r="A6" t="s">
        <v>209</v>
      </c>
      <c r="B6" t="s">
        <v>89</v>
      </c>
      <c r="C6" t="s">
        <v>216</v>
      </c>
      <c r="F6" t="s">
        <v>244</v>
      </c>
      <c r="G6" t="s">
        <v>248</v>
      </c>
      <c r="I6" s="10" t="s">
        <v>223</v>
      </c>
      <c r="N6" t="s">
        <v>253</v>
      </c>
    </row>
    <row r="7" spans="1:14">
      <c r="A7" t="s">
        <v>210</v>
      </c>
      <c r="B7" t="s">
        <v>91</v>
      </c>
      <c r="C7" t="s">
        <v>217</v>
      </c>
      <c r="I7" s="10" t="s">
        <v>224</v>
      </c>
      <c r="N7" t="s">
        <v>254</v>
      </c>
    </row>
    <row r="8" spans="1:14">
      <c r="A8" t="s">
        <v>211</v>
      </c>
      <c r="B8" t="s">
        <v>93</v>
      </c>
      <c r="C8" t="s">
        <v>218</v>
      </c>
      <c r="I8" s="10" t="s">
        <v>225</v>
      </c>
    </row>
  </sheetData>
  <phoneticPr fontId="1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</vt:i4>
      </vt:variant>
    </vt:vector>
  </HeadingPairs>
  <TitlesOfParts>
    <vt:vector size="12" baseType="lpstr">
      <vt:lpstr>README   MANUAL（EN）</vt:lpstr>
      <vt:lpstr>README   MANUAL（JP）</vt:lpstr>
      <vt:lpstr>Overview(実験メタ情報）</vt:lpstr>
      <vt:lpstr>Models(実験対象一覧）</vt:lpstr>
      <vt:lpstr>PO(種問)JA</vt:lpstr>
      <vt:lpstr>PO(種問)EN</vt:lpstr>
      <vt:lpstr>IWR Measurement Log (Main)</vt:lpstr>
      <vt:lpstr>Bankruptcy type definition (fix</vt:lpstr>
      <vt:lpstr>Free Notes</vt:lpstr>
      <vt:lpstr>LISTS01</vt:lpstr>
      <vt:lpstr>LISTS02</vt:lpstr>
      <vt:lpstr>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R_Kato</dc:creator>
  <cp:lastModifiedBy>理一郎 加藤</cp:lastModifiedBy>
  <cp:lastPrinted>2026-01-15T19:06:35Z</cp:lastPrinted>
  <dcterms:created xsi:type="dcterms:W3CDTF">2015-06-05T18:19:34Z</dcterms:created>
  <dcterms:modified xsi:type="dcterms:W3CDTF">2026-01-15T19:29:34Z</dcterms:modified>
</cp:coreProperties>
</file>